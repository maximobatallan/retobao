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axib\OneDrive\Escritorio\"/>
    </mc:Choice>
  </mc:AlternateContent>
  <xr:revisionPtr revIDLastSave="0" documentId="13_ncr:1_{FA05984B-50BC-4E52-98CA-96AB080CF247}" xr6:coauthVersionLast="47" xr6:coauthVersionMax="47" xr10:uidLastSave="{00000000-0000-0000-0000-000000000000}"/>
  <bookViews>
    <workbookView showHorizontalScroll="0" showVerticalScroll="0" xWindow="-120" yWindow="-120" windowWidth="29040" windowHeight="15840" firstSheet="2" activeTab="2" xr2:uid="{772289EB-23A0-41BA-9AB7-E5374D9FE0EA}"/>
  </bookViews>
  <sheets>
    <sheet name="Hoja2" sheetId="57" state="hidden" r:id="rId1"/>
    <sheet name="Hoja1" sheetId="56" state="hidden" r:id="rId2"/>
    <sheet name="Inicio" sheetId="1" r:id="rId3"/>
    <sheet name="Mesa 10" sheetId="9" state="hidden" r:id="rId4"/>
    <sheet name="Mesa 11" sheetId="14" state="hidden" r:id="rId5"/>
    <sheet name="Mesa 12" sheetId="17" state="hidden" r:id="rId6"/>
    <sheet name="Mesa 13" sheetId="18" state="hidden" r:id="rId7"/>
    <sheet name="Mesa 20" sheetId="59" state="hidden" r:id="rId8"/>
    <sheet name="Mesa 21" sheetId="55" state="hidden" r:id="rId9"/>
    <sheet name="Mesa 22" sheetId="15" state="hidden" r:id="rId10"/>
    <sheet name="Mesa 30" sheetId="16" state="hidden" r:id="rId11"/>
    <sheet name="Mesa 41" sheetId="24" state="hidden" r:id="rId12"/>
    <sheet name="Mesa 40" sheetId="23" state="hidden" r:id="rId13"/>
    <sheet name="Mesa 50" sheetId="25" state="hidden" r:id="rId14"/>
    <sheet name="Mesa 51" sheetId="26" state="hidden" r:id="rId15"/>
    <sheet name="Mesa 1" sheetId="28" state="hidden" r:id="rId16"/>
    <sheet name="Mesa 1b" sheetId="29" state="hidden" r:id="rId17"/>
    <sheet name="Mesa 2" sheetId="30" state="hidden" r:id="rId18"/>
    <sheet name="Mesa 2b" sheetId="31" state="hidden" r:id="rId19"/>
    <sheet name="Mesa 3" sheetId="32" state="hidden" r:id="rId20"/>
    <sheet name="Mesa 3b" sheetId="33" state="hidden" r:id="rId21"/>
    <sheet name="Mesa 4" sheetId="34" state="hidden" r:id="rId22"/>
    <sheet name="Hoja4" sheetId="60" state="hidden" r:id="rId23"/>
    <sheet name="Mesa 60" sheetId="35" state="hidden" r:id="rId24"/>
    <sheet name="Mesa 61" sheetId="36" state="hidden" r:id="rId25"/>
    <sheet name="Mesa 62" sheetId="37" state="hidden" r:id="rId26"/>
    <sheet name="Mesa 63" sheetId="43" state="hidden" r:id="rId27"/>
    <sheet name="Mesa 64" sheetId="44" state="hidden" r:id="rId28"/>
    <sheet name="Mesa 65" sheetId="45" state="hidden" r:id="rId29"/>
    <sheet name="Mesa 66" sheetId="46" state="hidden" r:id="rId30"/>
    <sheet name="Mesa 67" sheetId="47" state="hidden" r:id="rId31"/>
    <sheet name="Mesa 68" sheetId="48" state="hidden" r:id="rId32"/>
    <sheet name="Mesa 31" sheetId="49" state="hidden" r:id="rId33"/>
    <sheet name="Mesa 32" sheetId="50" state="hidden" r:id="rId34"/>
    <sheet name="Mesa 52" sheetId="27" state="hidden" r:id="rId35"/>
    <sheet name="Delivery" sheetId="6" state="hidden" r:id="rId36"/>
    <sheet name="Mostrador" sheetId="51" state="hidden" r:id="rId37"/>
    <sheet name="Carta" sheetId="3" r:id="rId38"/>
    <sheet name="Ganancia" sheetId="8" r:id="rId39"/>
    <sheet name="Gastos" sheetId="10" r:id="rId40"/>
    <sheet name="Estadisticas" sheetId="7" r:id="rId41"/>
    <sheet name="Hoja3" sheetId="58" state="hidden" r:id="rId42"/>
    <sheet name="Historial" sheetId="38" r:id="rId43"/>
    <sheet name="Cocina" sheetId="52" r:id="rId44"/>
    <sheet name="Direcciones" sheetId="53" r:id="rId45"/>
  </sheets>
  <definedNames>
    <definedName name="_xlnm._FilterDatabase" localSheetId="44" hidden="1">Direcciones!$A$1:$CT$240</definedName>
    <definedName name="_xlnm._FilterDatabase" localSheetId="38" hidden="1">Ganancia!$A$2:$C$2</definedName>
    <definedName name="_xlnm.Print_Area" localSheetId="35">Delivery!$A$1:$C$7</definedName>
    <definedName name="_xlnm.Print_Area" localSheetId="3">'Mesa 10'!$A$1:$C$6</definedName>
    <definedName name="_xlnm.Print_Area" localSheetId="6">'Mesa 13'!$A$1:$C$6</definedName>
    <definedName name="_xlnm.Print_Area" localSheetId="16">'Mesa 1b'!$A$1:$C$6</definedName>
    <definedName name="_xlnm.Print_Area" localSheetId="7">'Mesa 20'!$A$1:$C$6</definedName>
    <definedName name="_xlnm.Print_Area" localSheetId="8">'Mesa 21'!$A$1:$C$6</definedName>
    <definedName name="_xlnm.Print_Area" localSheetId="19">'Mesa 3'!$A$1:$C$6</definedName>
    <definedName name="_xlnm.Print_Area" localSheetId="10">'Mesa 30'!$A$1:$C$6</definedName>
    <definedName name="_xlnm.Print_Area" localSheetId="20">'Mesa 3b'!$A$1:$C$6</definedName>
    <definedName name="_xlnm.Print_Area" localSheetId="24">'Mesa 61'!$A$1:$C$6</definedName>
    <definedName name="_xlnm.Print_Area" localSheetId="27">'Mesa 64'!$A$1:$C$6</definedName>
    <definedName name="_xlnm.Print_Area" localSheetId="30">'Mesa 67'!$A$1:$C$6</definedName>
    <definedName name="Z_CCC669E6_9206_451E_B429_F917E5EBF5A5_.wvu.FilterData" localSheetId="38" hidden="1">Ganancia!$A$2:$C$2</definedName>
    <definedName name="Z_CCC669E6_9206_451E_B429_F917E5EBF5A5_.wvu.PrintArea" localSheetId="35" hidden="1">Delivery!$A$1:$C$7</definedName>
    <definedName name="Z_CCC669E6_9206_451E_B429_F917E5EBF5A5_.wvu.PrintArea" localSheetId="3" hidden="1">'Mesa 10'!$A$1:$C$6</definedName>
    <definedName name="Z_CCC669E6_9206_451E_B429_F917E5EBF5A5_.wvu.PrintArea" localSheetId="6" hidden="1">'Mesa 13'!$A$1:$C$6</definedName>
    <definedName name="Z_CCC669E6_9206_451E_B429_F917E5EBF5A5_.wvu.PrintArea" localSheetId="16" hidden="1">'Mesa 1b'!$A$1:$C$6</definedName>
    <definedName name="Z_CCC669E6_9206_451E_B429_F917E5EBF5A5_.wvu.PrintArea" localSheetId="7" hidden="1">'Mesa 20'!$A$1:$C$6</definedName>
    <definedName name="Z_CCC669E6_9206_451E_B429_F917E5EBF5A5_.wvu.PrintArea" localSheetId="8" hidden="1">'Mesa 21'!$A$1:$C$6</definedName>
    <definedName name="Z_CCC669E6_9206_451E_B429_F917E5EBF5A5_.wvu.PrintArea" localSheetId="19" hidden="1">'Mesa 3'!$A$1:$C$6</definedName>
    <definedName name="Z_CCC669E6_9206_451E_B429_F917E5EBF5A5_.wvu.PrintArea" localSheetId="10" hidden="1">'Mesa 30'!$A$1:$C$6</definedName>
    <definedName name="Z_CCC669E6_9206_451E_B429_F917E5EBF5A5_.wvu.PrintArea" localSheetId="33" hidden="1">'Mesa 32'!$A$1:$C$6</definedName>
    <definedName name="Z_CCC669E6_9206_451E_B429_F917E5EBF5A5_.wvu.PrintArea" localSheetId="20" hidden="1">'Mesa 3b'!$A$1:$C$6</definedName>
    <definedName name="Z_CCC669E6_9206_451E_B429_F917E5EBF5A5_.wvu.PrintArea" localSheetId="13" hidden="1">'Mesa 50'!$A$1:$C$6</definedName>
    <definedName name="Z_CCC669E6_9206_451E_B429_F917E5EBF5A5_.wvu.PrintArea" localSheetId="14" hidden="1">'Mesa 51'!$A$1:$C$6</definedName>
    <definedName name="Z_CCC669E6_9206_451E_B429_F917E5EBF5A5_.wvu.PrintArea" localSheetId="24" hidden="1">'Mesa 61'!$A$1:$C$6</definedName>
    <definedName name="Z_CCC669E6_9206_451E_B429_F917E5EBF5A5_.wvu.PrintArea" localSheetId="27" hidden="1">'Mesa 64'!$A$1:$C$6</definedName>
    <definedName name="Z_CCC669E6_9206_451E_B429_F917E5EBF5A5_.wvu.PrintArea" localSheetId="30" hidden="1">'Mesa 67'!$A$1:$C$6</definedName>
    <definedName name="Z_CCC669E6_9206_451E_B429_F917E5EBF5A5_.wvu.PrintArea" localSheetId="36" hidden="1">Mostrador!$A$1:$C$6</definedName>
  </definedNames>
  <calcPr calcId="191029"/>
  <customWorkbookViews>
    <customWorkbookView name="Retobao" guid="{CCC669E6-9206-451E-B429-F917E5EBF5A5}" maximized="1" showHorizontalScroll="0" showVerticalScroll="0" windowWidth="1916" windowHeight="854" tabRatio="973" activeSheetId="2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59" l="1"/>
  <c r="B1" i="10" l="1"/>
  <c r="B4" i="55" l="1"/>
  <c r="B4" i="27" l="1"/>
  <c r="B4" i="51" l="1"/>
  <c r="B4" i="50" l="1"/>
  <c r="B4" i="49"/>
  <c r="A1" i="8" l="1"/>
  <c r="B4" i="46" l="1"/>
  <c r="B4" i="48" l="1"/>
  <c r="B4" i="47"/>
  <c r="B4" i="45"/>
  <c r="B4" i="44"/>
  <c r="B4" i="43"/>
  <c r="B4" i="37"/>
  <c r="B4" i="36"/>
  <c r="B4" i="35"/>
  <c r="B4" i="34"/>
  <c r="B4" i="33"/>
  <c r="B4" i="32"/>
  <c r="B4" i="31"/>
  <c r="B4" i="30"/>
  <c r="B4" i="29"/>
  <c r="B4" i="28"/>
  <c r="B4" i="26"/>
  <c r="B4" i="25"/>
  <c r="B4" i="24"/>
  <c r="B4" i="23"/>
  <c r="B4" i="16"/>
  <c r="B4" i="15"/>
  <c r="B4" i="18"/>
  <c r="B4" i="17"/>
  <c r="B4" i="9"/>
  <c r="B1" i="38" l="1"/>
  <c r="B4" i="14" l="1"/>
  <c r="B6" i="6" l="1"/>
</calcChain>
</file>

<file path=xl/sharedStrings.xml><?xml version="1.0" encoding="utf-8"?>
<sst xmlns="http://schemas.openxmlformats.org/spreadsheetml/2006/main" count="1290" uniqueCount="908">
  <si>
    <t>Chocotorta</t>
  </si>
  <si>
    <t>Whisky</t>
  </si>
  <si>
    <t>Total</t>
  </si>
  <si>
    <t>Cant</t>
  </si>
  <si>
    <t>Descripción</t>
  </si>
  <si>
    <t>Fecha:</t>
  </si>
  <si>
    <t>Del Carril 2301 - Capital Federal</t>
  </si>
  <si>
    <t>4587-8251</t>
  </si>
  <si>
    <t>Mesa:</t>
  </si>
  <si>
    <t>Delivery</t>
  </si>
  <si>
    <t xml:space="preserve"> </t>
  </si>
  <si>
    <t>Mesa</t>
  </si>
  <si>
    <t>Ingreso</t>
  </si>
  <si>
    <t>Fecha</t>
  </si>
  <si>
    <t>Gastos del dia</t>
  </si>
  <si>
    <t>Gastos</t>
  </si>
  <si>
    <t>Importe</t>
  </si>
  <si>
    <t>Historial diario de mesas</t>
  </si>
  <si>
    <t xml:space="preserve">      </t>
  </si>
  <si>
    <t xml:space="preserve">       </t>
  </si>
  <si>
    <t xml:space="preserve">  </t>
  </si>
  <si>
    <t xml:space="preserve">         </t>
  </si>
  <si>
    <t>1b</t>
  </si>
  <si>
    <t>2b</t>
  </si>
  <si>
    <t>3b</t>
  </si>
  <si>
    <t>Saldo Inicial Caja:</t>
  </si>
  <si>
    <t>Mostrador</t>
  </si>
  <si>
    <t>Tarjeta:</t>
  </si>
  <si>
    <t>Retiros:</t>
  </si>
  <si>
    <t>Calles</t>
  </si>
  <si>
    <t>ACHEGA</t>
  </si>
  <si>
    <t>AIZPURUA</t>
  </si>
  <si>
    <t>ALFONSINA STORNI</t>
  </si>
  <si>
    <t>ALTOLAGUIRRE</t>
  </si>
  <si>
    <t>AMENABAR</t>
  </si>
  <si>
    <t>AMSTERDAM</t>
  </si>
  <si>
    <t>ANDONAEGUI</t>
  </si>
  <si>
    <t>ARGERICH</t>
  </si>
  <si>
    <t>ARTIGAS</t>
  </si>
  <si>
    <t>ARTURO CAPDEVILA</t>
  </si>
  <si>
    <t>ASUNCION</t>
  </si>
  <si>
    <t>ATENAS</t>
  </si>
  <si>
    <t>AV ALBARELLOS</t>
  </si>
  <si>
    <t>AV ALVAREZ JONTE</t>
  </si>
  <si>
    <t>AV ALVAREZ THOMAS</t>
  </si>
  <si>
    <t>AV CHORROARIN</t>
  </si>
  <si>
    <t>AV DE LOS CONSTITUYENTES</t>
  </si>
  <si>
    <t>AV DE LOS INCAS</t>
  </si>
  <si>
    <t>AV DEL CAMPO</t>
  </si>
  <si>
    <t>AV ELCANO</t>
  </si>
  <si>
    <t>AV FEDERICO LACROZE</t>
  </si>
  <si>
    <t>AV FOREST</t>
  </si>
  <si>
    <t>AV FRANCISCO BEIRO</t>
  </si>
  <si>
    <t>AV GRL ENRIQUE MOSCONI</t>
  </si>
  <si>
    <t>AV LUIS MARIA CAMPOS</t>
  </si>
  <si>
    <t>AV NAZCA</t>
  </si>
  <si>
    <t>AV OLAZABAL</t>
  </si>
  <si>
    <t>AV SAENZ</t>
  </si>
  <si>
    <t>AV SALVADOR MARIA DEL CARRIL</t>
  </si>
  <si>
    <t>AV SEGUROLA</t>
  </si>
  <si>
    <t>AV TRIUNVIRATO</t>
  </si>
  <si>
    <t>AV WARNES</t>
  </si>
  <si>
    <t>AVALOS</t>
  </si>
  <si>
    <t>BALBIN</t>
  </si>
  <si>
    <t>BALLIVIAN</t>
  </si>
  <si>
    <t>BARZANA</t>
  </si>
  <si>
    <t>BASILIO HALL</t>
  </si>
  <si>
    <t>BAUNESS</t>
  </si>
  <si>
    <t>BAZURCO</t>
  </si>
  <si>
    <t>BEETHOVEN</t>
  </si>
  <si>
    <t>BESARES</t>
  </si>
  <si>
    <t>BLANCO ENCALADA</t>
  </si>
  <si>
    <t>BOLIVIA</t>
  </si>
  <si>
    <t>BUCARELLI</t>
  </si>
  <si>
    <t>BUCAREST</t>
  </si>
  <si>
    <t>BUDAPEST</t>
  </si>
  <si>
    <t>BURELA</t>
  </si>
  <si>
    <t>CADIZ</t>
  </si>
  <si>
    <t>CALDAS</t>
  </si>
  <si>
    <t>CAMPANA</t>
  </si>
  <si>
    <t>CAPDEVILA</t>
  </si>
  <si>
    <t>CARACAS</t>
  </si>
  <si>
    <t>CARLOS ANTONIO LOPEZ</t>
  </si>
  <si>
    <t>CAZADORES</t>
  </si>
  <si>
    <t>CERETTI</t>
  </si>
  <si>
    <t>CESPEDES</t>
  </si>
  <si>
    <t>CHIVILCOY</t>
  </si>
  <si>
    <t>CIUDAD DE LA PAZ</t>
  </si>
  <si>
    <t>CNL LUIS JORGE FONTANA</t>
  </si>
  <si>
    <t>COCHRANE</t>
  </si>
  <si>
    <t>CONCORDIA</t>
  </si>
  <si>
    <t>CONDARCO</t>
  </si>
  <si>
    <t>CONGRESO</t>
  </si>
  <si>
    <t>CONSTANTINOPLA</t>
  </si>
  <si>
    <t>COPENHAGUE</t>
  </si>
  <si>
    <t>COPERNICO</t>
  </si>
  <si>
    <t>CRAMER</t>
  </si>
  <si>
    <t>CUENCA</t>
  </si>
  <si>
    <t>CULLEN</t>
  </si>
  <si>
    <t>CURUPAYTI</t>
  </si>
  <si>
    <t>DE LA TECNICA</t>
  </si>
  <si>
    <t>DEHEZA</t>
  </si>
  <si>
    <t>DEL TEMPLE</t>
  </si>
  <si>
    <t>DIAZ COLODRERO</t>
  </si>
  <si>
    <t>DONADO</t>
  </si>
  <si>
    <t>DR PEDRO IGNACIO RIVERA</t>
  </si>
  <si>
    <t>DUBLIN</t>
  </si>
  <si>
    <t>ECHEVERRIA</t>
  </si>
  <si>
    <t>EL TREBOL</t>
  </si>
  <si>
    <t>EMILIO CIVIT</t>
  </si>
  <si>
    <t>EMILIO LAMARCA</t>
  </si>
  <si>
    <t>ESCOBAR</t>
  </si>
  <si>
    <t>ESTADO DE ISRAEL</t>
  </si>
  <si>
    <t>ESTOMBA</t>
  </si>
  <si>
    <t>ESTONIA</t>
  </si>
  <si>
    <t>FAMAILLA</t>
  </si>
  <si>
    <t>FRANCISCO LOPEZ MERINO</t>
  </si>
  <si>
    <t>FRANCISCO SOLANO LOPEZ</t>
  </si>
  <si>
    <t>FRANKLIN D ROOSEVELT</t>
  </si>
  <si>
    <t>GABRIELA MISTRAL</t>
  </si>
  <si>
    <t>GALVAN</t>
  </si>
  <si>
    <t>GANDARA</t>
  </si>
  <si>
    <t>GAVILAN</t>
  </si>
  <si>
    <t>GIRARDOT</t>
  </si>
  <si>
    <t>GIRIBONE</t>
  </si>
  <si>
    <t>GRIVEO</t>
  </si>
  <si>
    <t>GRL JOSE M BUSTILLO</t>
  </si>
  <si>
    <t>GUTENBERG</t>
  </si>
  <si>
    <t>HABANA</t>
  </si>
  <si>
    <t>HAMBURGO</t>
  </si>
  <si>
    <t>HELGUERA</t>
  </si>
  <si>
    <t>HOLMBERG</t>
  </si>
  <si>
    <t>IBERA</t>
  </si>
  <si>
    <t>JOSE HERNANDEZ</t>
  </si>
  <si>
    <t>JOSE P TAMBORINI</t>
  </si>
  <si>
    <t>JURAMENTO</t>
  </si>
  <si>
    <t>LA GLORIA</t>
  </si>
  <si>
    <t>LA PAMPA</t>
  </si>
  <si>
    <t>LADINES</t>
  </si>
  <si>
    <t>LAVALLE</t>
  </si>
  <si>
    <t>LAVOISIER</t>
  </si>
  <si>
    <t>LITUANIA</t>
  </si>
  <si>
    <t>LIVERPOOL</t>
  </si>
  <si>
    <t>LLAVALLOL</t>
  </si>
  <si>
    <t>LLERENA</t>
  </si>
  <si>
    <t>LONDRES</t>
  </si>
  <si>
    <t>LOPE DE VEGA</t>
  </si>
  <si>
    <t>LUGONES</t>
  </si>
  <si>
    <t>LUXEMBURGO</t>
  </si>
  <si>
    <t>MACHAIN</t>
  </si>
  <si>
    <t>MANUELA PEDRAZA</t>
  </si>
  <si>
    <t>MENDOZA</t>
  </si>
  <si>
    <t>MIGUEL DE CERVANTES</t>
  </si>
  <si>
    <t>MONROE</t>
  </si>
  <si>
    <t>MONTREAL</t>
  </si>
  <si>
    <t>NAHUEL HUAPI</t>
  </si>
  <si>
    <t>NAPOLES</t>
  </si>
  <si>
    <t>NAVARRO</t>
  </si>
  <si>
    <t>NUEVA YORK</t>
  </si>
  <si>
    <t>NUÑEZ</t>
  </si>
  <si>
    <t>OBISPO SAN ALBERTO</t>
  </si>
  <si>
    <t>PACHECO</t>
  </si>
  <si>
    <t>PAREJA</t>
  </si>
  <si>
    <t>PARIS</t>
  </si>
  <si>
    <t>PESTALOZZI</t>
  </si>
  <si>
    <t>PIRAN</t>
  </si>
  <si>
    <t>QUESADA</t>
  </si>
  <si>
    <t>ROSALES</t>
  </si>
  <si>
    <t>TRIPOLI</t>
  </si>
  <si>
    <t>VICTORICA</t>
  </si>
  <si>
    <t>ZABALA</t>
  </si>
  <si>
    <t>ZADO</t>
  </si>
  <si>
    <t>ZAMUDIO</t>
  </si>
  <si>
    <t>ZAPIOLA</t>
  </si>
  <si>
    <t>GASTOS</t>
  </si>
  <si>
    <t>SUELDOS</t>
  </si>
  <si>
    <t>VERDULERIA</t>
  </si>
  <si>
    <t>FRIGORIFICO</t>
  </si>
  <si>
    <t>QUESOS</t>
  </si>
  <si>
    <t>PAN</t>
  </si>
  <si>
    <t>FIAMBRE</t>
  </si>
  <si>
    <t>SUPERMECADO</t>
  </si>
  <si>
    <t>VOLANTES</t>
  </si>
  <si>
    <t>APORTES</t>
  </si>
  <si>
    <t>HIELO</t>
  </si>
  <si>
    <t>BEBIDA</t>
  </si>
  <si>
    <t>DESCARTABLES</t>
  </si>
  <si>
    <t>CARBON</t>
  </si>
  <si>
    <t>ACEITE</t>
  </si>
  <si>
    <t>HELADO</t>
  </si>
  <si>
    <t>MOTO</t>
  </si>
  <si>
    <t>CERVEZA</t>
  </si>
  <si>
    <t>INGRESOS BRUTOS</t>
  </si>
  <si>
    <t>BLANCA LUNA</t>
  </si>
  <si>
    <t>ART LIMPIEZA</t>
  </si>
  <si>
    <t>SODA</t>
  </si>
  <si>
    <t>FERRETERIA</t>
  </si>
  <si>
    <t>CONTADOR</t>
  </si>
  <si>
    <t>VINO</t>
  </si>
  <si>
    <t>PAN RALLADO</t>
  </si>
  <si>
    <t>AGUA</t>
  </si>
  <si>
    <t>TRAPOS</t>
  </si>
  <si>
    <t>AUTONOMOS</t>
  </si>
  <si>
    <t>CARNE</t>
  </si>
  <si>
    <t>CARSF</t>
  </si>
  <si>
    <t>CRUZ DEL EJE</t>
  </si>
  <si>
    <t>LA FOND</t>
  </si>
  <si>
    <t>IMPUESTOS</t>
  </si>
  <si>
    <t>4870---8B</t>
  </si>
  <si>
    <t>2359 8B</t>
  </si>
  <si>
    <t>VALLEJOS</t>
  </si>
  <si>
    <t>2114 PORTERIA</t>
  </si>
  <si>
    <t>4084 1 D</t>
  </si>
  <si>
    <t>JOSE CUBAS</t>
  </si>
  <si>
    <t>ABUELO</t>
  </si>
  <si>
    <t>DIA</t>
  </si>
  <si>
    <t>SUEL</t>
  </si>
  <si>
    <t>SUELDO</t>
  </si>
  <si>
    <t>4147   3-A</t>
  </si>
  <si>
    <t>2359   8-B</t>
  </si>
  <si>
    <t>3980     1-B</t>
  </si>
  <si>
    <t>4114   5- B</t>
  </si>
  <si>
    <t>SHELL</t>
  </si>
  <si>
    <t>2280   TIMBRE ARRIBA</t>
  </si>
  <si>
    <t>POLLO</t>
  </si>
  <si>
    <t>NY</t>
  </si>
  <si>
    <t>1    2-A</t>
  </si>
  <si>
    <t>3122      7-A</t>
  </si>
  <si>
    <t>MOSONI</t>
  </si>
  <si>
    <t>5869  DPTO 1</t>
  </si>
  <si>
    <t>4240   TIMBRE 3</t>
  </si>
  <si>
    <t>2114  -PORTERIA</t>
  </si>
  <si>
    <t>2541   ---DEPTO 2</t>
  </si>
  <si>
    <t>3838 2°9</t>
  </si>
  <si>
    <t>4540   3-I</t>
  </si>
  <si>
    <t>G.MISTRAL</t>
  </si>
  <si>
    <t>2140 2°9</t>
  </si>
  <si>
    <t>2326 4°B</t>
  </si>
  <si>
    <t>3899 DPT A</t>
  </si>
  <si>
    <t>3980 1/A</t>
  </si>
  <si>
    <t>2360 1/C</t>
  </si>
  <si>
    <t>480 8/B</t>
  </si>
  <si>
    <t>3018 2°A</t>
  </si>
  <si>
    <t>3937 DPTO 3</t>
  </si>
  <si>
    <t>2711 1°D</t>
  </si>
  <si>
    <t>CABEZON</t>
  </si>
  <si>
    <t>KIOSCO</t>
  </si>
  <si>
    <t>4003--3C</t>
  </si>
  <si>
    <t>2654  DOPTO B</t>
  </si>
  <si>
    <t>4427---TIMRE ARRIBA</t>
  </si>
  <si>
    <t>MARIA DEL CARMEN</t>
  </si>
  <si>
    <t>TERRADA</t>
  </si>
  <si>
    <t>4642 DPTO 6</t>
  </si>
  <si>
    <t>5869 DPTO 1</t>
  </si>
  <si>
    <t>3443 7°38</t>
  </si>
  <si>
    <t>2278 4°B</t>
  </si>
  <si>
    <t>4149  63796285</t>
  </si>
  <si>
    <t>2654  B</t>
  </si>
  <si>
    <t>HABANA 2275</t>
  </si>
  <si>
    <t>4555 ---6A</t>
  </si>
  <si>
    <t>EMPANADAS</t>
  </si>
  <si>
    <t>PEDRO MORAN</t>
  </si>
  <si>
    <t>2380 DPTO 3</t>
  </si>
  <si>
    <t>2380   DEPTO3</t>
  </si>
  <si>
    <t>3055   5A</t>
  </si>
  <si>
    <t>2657   DEPTO-9</t>
  </si>
  <si>
    <t>4112    5/A</t>
  </si>
  <si>
    <t>4870  -8/B</t>
  </si>
  <si>
    <t>4113 DPTO 4</t>
  </si>
  <si>
    <t xml:space="preserve">GAVILAN </t>
  </si>
  <si>
    <t>2185   -1B</t>
  </si>
  <si>
    <t>2834  PB</t>
  </si>
  <si>
    <t>FRANCO</t>
  </si>
  <si>
    <t>3284    PB</t>
  </si>
  <si>
    <t>2687   -PB</t>
  </si>
  <si>
    <t>3141   -3B</t>
  </si>
  <si>
    <t>PAN RALADO</t>
  </si>
  <si>
    <t>DESCARTABLE</t>
  </si>
  <si>
    <t>2058 6°A</t>
  </si>
  <si>
    <t>2272  6°A</t>
  </si>
  <si>
    <t>3785 TIMBRE 3</t>
  </si>
  <si>
    <t>2222 3°B</t>
  </si>
  <si>
    <t>3264  PORTERIA</t>
  </si>
  <si>
    <t>2714 2°B</t>
  </si>
  <si>
    <t>4081   DPTO 2</t>
  </si>
  <si>
    <t>2174  45718581</t>
  </si>
  <si>
    <t>5054 1/104 1141444651</t>
  </si>
  <si>
    <t>...</t>
  </si>
  <si>
    <t>ANGELITA</t>
  </si>
  <si>
    <t>2817 PB/3 210-72099</t>
  </si>
  <si>
    <t>2345 2/A</t>
  </si>
  <si>
    <t>2152 3/A</t>
  </si>
  <si>
    <t>ALE CORDOBES</t>
  </si>
  <si>
    <t>PLOTERSS</t>
  </si>
  <si>
    <t>2575 DPTO 531</t>
  </si>
  <si>
    <t>2367  P.BAJA "D"</t>
  </si>
  <si>
    <t>2495 2/A</t>
  </si>
  <si>
    <t>2326 8//B</t>
  </si>
  <si>
    <t>DTO 2</t>
  </si>
  <si>
    <t>TAPAS</t>
  </si>
  <si>
    <t>MAIZ</t>
  </si>
  <si>
    <t>CHINO</t>
  </si>
  <si>
    <t>4083/1555742129</t>
  </si>
  <si>
    <t xml:space="preserve">LAFOUNN </t>
  </si>
  <si>
    <t>3972 1 PISO</t>
  </si>
  <si>
    <t>MARTA</t>
  </si>
  <si>
    <t>2641 8-A</t>
  </si>
  <si>
    <t>MICA DIAZ</t>
  </si>
  <si>
    <t>4035  3</t>
  </si>
  <si>
    <t>2872 8 B</t>
  </si>
  <si>
    <t>CECILIA</t>
  </si>
  <si>
    <t>4813  4/A</t>
  </si>
  <si>
    <t>MARIO</t>
  </si>
  <si>
    <t>1825   P3   DPTO 8</t>
  </si>
  <si>
    <t>4675 "2"</t>
  </si>
  <si>
    <t>2530 TIM ARRIBA</t>
  </si>
  <si>
    <t>4665 7°A</t>
  </si>
  <si>
    <t>2326 8/A</t>
  </si>
  <si>
    <t>3794 3/C</t>
  </si>
  <si>
    <t>3233 7/D</t>
  </si>
  <si>
    <t>FIAMBRERIA</t>
  </si>
  <si>
    <t>2379 T/3</t>
  </si>
  <si>
    <t>MOTOS</t>
  </si>
  <si>
    <t>VER</t>
  </si>
  <si>
    <t>RECUPERO</t>
  </si>
  <si>
    <t>3233 7/B</t>
  </si>
  <si>
    <t>NAFTA</t>
  </si>
  <si>
    <t>3188 DTO/3</t>
  </si>
  <si>
    <t>3823 DTO/B</t>
  </si>
  <si>
    <t>2326 1/B</t>
  </si>
  <si>
    <t>1/A</t>
  </si>
  <si>
    <t>2830 T/4</t>
  </si>
  <si>
    <t>2256 2/B</t>
  </si>
  <si>
    <t>5988 1/A</t>
  </si>
  <si>
    <t>2967 1544022591</t>
  </si>
  <si>
    <t>3374 DTO/1 1132787063</t>
  </si>
  <si>
    <t xml:space="preserve">2530 TIM ARRIBA </t>
  </si>
  <si>
    <t>RIVAS</t>
  </si>
  <si>
    <t>2397 7/B</t>
  </si>
  <si>
    <t>2208 B 45717398</t>
  </si>
  <si>
    <t>2185  1°B</t>
  </si>
  <si>
    <t>2958  5°A</t>
  </si>
  <si>
    <t>COMBATIENTES DE MALVINAS</t>
  </si>
  <si>
    <t>3443  7°38</t>
  </si>
  <si>
    <t>2714  2°B</t>
  </si>
  <si>
    <t>2345  2°B</t>
  </si>
  <si>
    <t>LIMPEZA</t>
  </si>
  <si>
    <t>VITAL</t>
  </si>
  <si>
    <t>LAFOND</t>
  </si>
  <si>
    <t>3284  PB</t>
  </si>
  <si>
    <t>2126  DPTO 3</t>
  </si>
  <si>
    <t>2359 8°B</t>
  </si>
  <si>
    <t>4870  DPTO 8°B</t>
  </si>
  <si>
    <t>4493 PB</t>
  </si>
  <si>
    <t>2462  8/D</t>
  </si>
  <si>
    <t>3066  1°A</t>
  </si>
  <si>
    <t>4463  3°PISO DP 12</t>
  </si>
  <si>
    <t>4599  6°A</t>
  </si>
  <si>
    <t>2614  DPTO 4</t>
  </si>
  <si>
    <t>4369 DPTO D</t>
  </si>
  <si>
    <t>4813   DPTO 4°A</t>
  </si>
  <si>
    <t>4870 8°B</t>
  </si>
  <si>
    <t xml:space="preserve">4565  4°A </t>
  </si>
  <si>
    <t>IMPUESTO</t>
  </si>
  <si>
    <t>3707  PISO 2</t>
  </si>
  <si>
    <t>4498  3°PISO C</t>
  </si>
  <si>
    <t>2173  8°A</t>
  </si>
  <si>
    <t>3037 2/A</t>
  </si>
  <si>
    <t>2323 1/A</t>
  </si>
  <si>
    <t>3154 D/1</t>
  </si>
  <si>
    <t>4237 T /ARRIBA</t>
  </si>
  <si>
    <t>2365 T/B</t>
  </si>
  <si>
    <t>2329 DTO/3</t>
  </si>
  <si>
    <t>PEPE FIAMBRERIA</t>
  </si>
  <si>
    <t>COMISIONES</t>
  </si>
  <si>
    <t>4550  2°D</t>
  </si>
  <si>
    <t>2557 TIM  A</t>
  </si>
  <si>
    <t>2345 5C</t>
  </si>
  <si>
    <t>5518  DPTO  4C</t>
  </si>
  <si>
    <t>2673  5°C</t>
  </si>
  <si>
    <t>4662 DTO/8</t>
  </si>
  <si>
    <t>3287 6/A</t>
  </si>
  <si>
    <t>PAPELERA</t>
  </si>
  <si>
    <t xml:space="preserve">DIA </t>
  </si>
  <si>
    <t>5131  8°A</t>
  </si>
  <si>
    <t>2817  P.BAJA 3</t>
  </si>
  <si>
    <t>3899 TIMBRE ABAJO</t>
  </si>
  <si>
    <t>4993  9 OK</t>
  </si>
  <si>
    <t xml:space="preserve">FILET </t>
  </si>
  <si>
    <t>PAPA</t>
  </si>
  <si>
    <t>2280 T/A</t>
  </si>
  <si>
    <t>2351/1</t>
  </si>
  <si>
    <t>2475  TIMBRE FRENTE</t>
  </si>
  <si>
    <t>FLORI</t>
  </si>
  <si>
    <t>2211   DPTO 1</t>
  </si>
  <si>
    <t>1837  1°D</t>
  </si>
  <si>
    <t>2185  1°</t>
  </si>
  <si>
    <t>3957  DPTO°A</t>
  </si>
  <si>
    <t>2466  P.BAJA  A</t>
  </si>
  <si>
    <t>2113 7°A</t>
  </si>
  <si>
    <t>2652  3°19</t>
  </si>
  <si>
    <t>2140  5D</t>
  </si>
  <si>
    <t>3422 P.BAJA 3</t>
  </si>
  <si>
    <t>4313  4°A</t>
  </si>
  <si>
    <t xml:space="preserve">ZAMUDIO </t>
  </si>
  <si>
    <t>ZAMUDIIO</t>
  </si>
  <si>
    <t>MARILU</t>
  </si>
  <si>
    <t>SAN MARTIN</t>
  </si>
  <si>
    <t>CARACS</t>
  </si>
  <si>
    <t>ABELO</t>
  </si>
  <si>
    <t>CHORIZO</t>
  </si>
  <si>
    <t>3236  8°A</t>
  </si>
  <si>
    <t>2327  3°B</t>
  </si>
  <si>
    <t>2657 DTO 4</t>
  </si>
  <si>
    <t>2657 DTO7</t>
  </si>
  <si>
    <t>2272 6B</t>
  </si>
  <si>
    <t>3287 A</t>
  </si>
  <si>
    <t>2345 1/A</t>
  </si>
  <si>
    <t>CERETI</t>
  </si>
  <si>
    <t xml:space="preserve"> 2044 5/A</t>
  </si>
  <si>
    <t>TRIPÓLI</t>
  </si>
  <si>
    <t>4867 /2</t>
  </si>
  <si>
    <t>4040 3I</t>
  </si>
  <si>
    <t>2657 DPTO 4</t>
  </si>
  <si>
    <t>FIMBRERIA</t>
  </si>
  <si>
    <t>2355 2°3</t>
  </si>
  <si>
    <t>GASEOSA</t>
  </si>
  <si>
    <t>PLOTTERS</t>
  </si>
  <si>
    <t>3401  1°AAAAAAA</t>
  </si>
  <si>
    <t>4358  TIM. 5</t>
  </si>
  <si>
    <t>TIMBRE 4</t>
  </si>
  <si>
    <t>4168 T/C</t>
  </si>
  <si>
    <t>3287/A</t>
  </si>
  <si>
    <t>DETER</t>
  </si>
  <si>
    <t>PLTTERS</t>
  </si>
  <si>
    <t>3965 PB A</t>
  </si>
  <si>
    <t xml:space="preserve">2365 T/B </t>
  </si>
  <si>
    <t>2662 1166107081</t>
  </si>
  <si>
    <t>4350 1555859733</t>
  </si>
  <si>
    <t>3980 1/B</t>
  </si>
  <si>
    <t>2208      PB 2</t>
  </si>
  <si>
    <t>BICI</t>
  </si>
  <si>
    <t>AGUSTIN ALVAREZ</t>
  </si>
  <si>
    <t>4670 4°B</t>
  </si>
  <si>
    <t>464 9</t>
  </si>
  <si>
    <t xml:space="preserve">CARACAS </t>
  </si>
  <si>
    <t>GUTEMBERG</t>
  </si>
  <si>
    <t>2338 TIM B</t>
  </si>
  <si>
    <t>2557  TIM C</t>
  </si>
  <si>
    <t>3863  DPTO 2</t>
  </si>
  <si>
    <t>5988  1°A</t>
  </si>
  <si>
    <t>4435  1° TIM</t>
  </si>
  <si>
    <t>5842  DPTO 10</t>
  </si>
  <si>
    <t>2228  1°B</t>
  </si>
  <si>
    <t>VERDURA</t>
  </si>
  <si>
    <t>2742 7/B</t>
  </si>
  <si>
    <t>2769 PB 4</t>
  </si>
  <si>
    <t>1754 T ABAJO</t>
  </si>
  <si>
    <t>3960 B</t>
  </si>
  <si>
    <t>2113  7°A</t>
  </si>
  <si>
    <t>VALLLEJOS</t>
  </si>
  <si>
    <t>2359  1°A</t>
  </si>
  <si>
    <t>5064 PH A</t>
  </si>
  <si>
    <t>2545 1C</t>
  </si>
  <si>
    <t>4283 T FRENTE</t>
  </si>
  <si>
    <t>2362  DPTO 5</t>
  </si>
  <si>
    <t>3057 TIM A</t>
  </si>
  <si>
    <t>3295  TIM 22</t>
  </si>
  <si>
    <t>2160  5°B</t>
  </si>
  <si>
    <t>2290 TIM 5°A</t>
  </si>
  <si>
    <t>3264  1°B</t>
  </si>
  <si>
    <t>EPANADAS</t>
  </si>
  <si>
    <t>2900 4/A</t>
  </si>
  <si>
    <t>DSCARTABLE</t>
  </si>
  <si>
    <t>CODARCO</t>
  </si>
  <si>
    <t>HELGERA</t>
  </si>
  <si>
    <t>ARTIAS</t>
  </si>
  <si>
    <t>CUS</t>
  </si>
  <si>
    <t>BCAELLI</t>
  </si>
  <si>
    <t>ZAMUDFIO</t>
  </si>
  <si>
    <t>2987  2°9</t>
  </si>
  <si>
    <t>3220 2°B</t>
  </si>
  <si>
    <t>4649  1°B</t>
  </si>
  <si>
    <t>2290  5°A</t>
  </si>
  <si>
    <t>4147 3°A</t>
  </si>
  <si>
    <t>5177 8°C</t>
  </si>
  <si>
    <t>2727 6°B</t>
  </si>
  <si>
    <t>2654  1°A</t>
  </si>
  <si>
    <t>22556  2°B</t>
  </si>
  <si>
    <t>2817  PB 3</t>
  </si>
  <si>
    <t>CONTITUYENTES</t>
  </si>
  <si>
    <t>CONTIYU</t>
  </si>
  <si>
    <t>BATERIAS</t>
  </si>
  <si>
    <t>AGENCIA BEIRO</t>
  </si>
  <si>
    <t>TIM 5</t>
  </si>
  <si>
    <t>4536 2°C</t>
  </si>
  <si>
    <t>19158  5°D</t>
  </si>
  <si>
    <t>3838  1°7</t>
  </si>
  <si>
    <t>2355  2°3</t>
  </si>
  <si>
    <t>3957  2°C</t>
  </si>
  <si>
    <t>2326 1°A</t>
  </si>
  <si>
    <t>NUEZ</t>
  </si>
  <si>
    <t>FOLLETOS</t>
  </si>
  <si>
    <t>2396 3/B</t>
  </si>
  <si>
    <t>2372 7/A</t>
  </si>
  <si>
    <t>4177  T/1</t>
  </si>
  <si>
    <t>VERDU</t>
  </si>
  <si>
    <t>6851 2/A</t>
  </si>
  <si>
    <t>2345     1A</t>
  </si>
  <si>
    <t>3957 6A</t>
  </si>
  <si>
    <t>2396 1 A</t>
  </si>
  <si>
    <t>2326 4°C</t>
  </si>
  <si>
    <t>3146 B</t>
  </si>
  <si>
    <t>2178 2A</t>
  </si>
  <si>
    <t>ALCOHOL</t>
  </si>
  <si>
    <t>4438 DPTO 1</t>
  </si>
  <si>
    <t>2631  TIM 2</t>
  </si>
  <si>
    <t>2657  PB A</t>
  </si>
  <si>
    <t>3341 /1</t>
  </si>
  <si>
    <t>TELEFONO</t>
  </si>
  <si>
    <t>2185  1°A</t>
  </si>
  <si>
    <t>FUMIGACION</t>
  </si>
  <si>
    <t>OBRA SOCIAL</t>
  </si>
  <si>
    <t>2140  5°C</t>
  </si>
  <si>
    <t>OPTICA</t>
  </si>
  <si>
    <t>2840 T C</t>
  </si>
  <si>
    <t>3295 2/B</t>
  </si>
  <si>
    <t>65555 TIM 2</t>
  </si>
  <si>
    <t>4562  7°B</t>
  </si>
  <si>
    <t>1918 5D</t>
  </si>
  <si>
    <t>E BRETON</t>
  </si>
  <si>
    <t>2295 2/A</t>
  </si>
  <si>
    <t>5078 39</t>
  </si>
  <si>
    <t>4165 DPTO 4</t>
  </si>
  <si>
    <t>2372 3°B</t>
  </si>
  <si>
    <t>2323 T3</t>
  </si>
  <si>
    <t>3994 2B</t>
  </si>
  <si>
    <t>3532 T NEGRO</t>
  </si>
  <si>
    <t>2375 T 3</t>
  </si>
  <si>
    <t>3838  2°9</t>
  </si>
  <si>
    <t>2256 2°B</t>
  </si>
  <si>
    <t>4675 TIM 2</t>
  </si>
  <si>
    <t>4828 5°B</t>
  </si>
  <si>
    <t>4081 DPTO 2</t>
  </si>
  <si>
    <t>CHNO</t>
  </si>
  <si>
    <t>MISAL</t>
  </si>
  <si>
    <t>4125 B</t>
  </si>
  <si>
    <t>7236 3/B</t>
  </si>
  <si>
    <t>3899 DTO/3</t>
  </si>
  <si>
    <t>3934 9/D</t>
  </si>
  <si>
    <t>2259/A</t>
  </si>
  <si>
    <t>CARGAS</t>
  </si>
  <si>
    <t>2657  DPTO 4</t>
  </si>
  <si>
    <t>4283  TIM FRENTE</t>
  </si>
  <si>
    <t>2178 2/A</t>
  </si>
  <si>
    <t xml:space="preserve"> SUELDO</t>
  </si>
  <si>
    <t>2286  TIM ABAJO</t>
  </si>
  <si>
    <t>2776 2/A</t>
  </si>
  <si>
    <t>PURE TOMATE</t>
  </si>
  <si>
    <t>BALIVAN</t>
  </si>
  <si>
    <t>3339 PB/2</t>
  </si>
  <si>
    <t>3707 3</t>
  </si>
  <si>
    <t>6851/2/A</t>
  </si>
  <si>
    <t>2545 1/C</t>
  </si>
  <si>
    <t>2378 FONDO ALTO</t>
  </si>
  <si>
    <t>237 3°B</t>
  </si>
  <si>
    <t>3060 1°A</t>
  </si>
  <si>
    <t>3339 PB 2</t>
  </si>
  <si>
    <t>KIOSCA</t>
  </si>
  <si>
    <t>5397 7/B</t>
  </si>
  <si>
    <t>4457  1/1</t>
  </si>
  <si>
    <t>GAS</t>
  </si>
  <si>
    <t>MERDOZA</t>
  </si>
  <si>
    <t>HEKGUERA</t>
  </si>
  <si>
    <t>ARGERINCH</t>
  </si>
  <si>
    <t>TERRRADA</t>
  </si>
  <si>
    <t>LIMPIEZA</t>
  </si>
  <si>
    <t>DIAS</t>
  </si>
  <si>
    <t>IMPRENTA</t>
  </si>
  <si>
    <t>3936  TIM 1</t>
  </si>
  <si>
    <t>5311 4/F</t>
  </si>
  <si>
    <t xml:space="preserve">NY </t>
  </si>
  <si>
    <t>POSTRE</t>
  </si>
  <si>
    <t>5074  3°9</t>
  </si>
  <si>
    <t xml:space="preserve">      DIA</t>
  </si>
  <si>
    <t xml:space="preserve">ASUNCION </t>
  </si>
  <si>
    <t>5207 3/A</t>
  </si>
  <si>
    <t>AGINALDO</t>
  </si>
  <si>
    <t>CALCOS</t>
  </si>
  <si>
    <t>4365 TIM 2</t>
  </si>
  <si>
    <t>2625 TIM B</t>
  </si>
  <si>
    <t xml:space="preserve"> 4401 TIM 5</t>
  </si>
  <si>
    <t>4343 2 9</t>
  </si>
  <si>
    <t>4536 2E</t>
  </si>
  <si>
    <t>TALAVERA</t>
  </si>
  <si>
    <t>3214 TIM A</t>
  </si>
  <si>
    <t>ACETE</t>
  </si>
  <si>
    <t>2386 PISO 1 DPTO C</t>
  </si>
  <si>
    <t>6235 DPTO 13</t>
  </si>
  <si>
    <t>2326 10 A</t>
  </si>
  <si>
    <t>MORCILLA</t>
  </si>
  <si>
    <t xml:space="preserve">PAN </t>
  </si>
  <si>
    <t>RANCHOS</t>
  </si>
  <si>
    <t>POROTOS</t>
  </si>
  <si>
    <t>3779 1°C</t>
  </si>
  <si>
    <t xml:space="preserve">CARNE					</t>
  </si>
  <si>
    <t>PISO 7 DPTO B</t>
  </si>
  <si>
    <t>2326 6°A</t>
  </si>
  <si>
    <t>3729 FONDO</t>
  </si>
  <si>
    <t>3251 GARAGE</t>
  </si>
  <si>
    <t>3055   5B</t>
  </si>
  <si>
    <t>TREMOSELLADORA</t>
  </si>
  <si>
    <t>2222 3°C</t>
  </si>
  <si>
    <t xml:space="preserve">CUENACA </t>
  </si>
  <si>
    <t>COTIILLON</t>
  </si>
  <si>
    <t>COTILLON</t>
  </si>
  <si>
    <t>2533 TIM ABAJO</t>
  </si>
  <si>
    <t>5967 1°PISO</t>
  </si>
  <si>
    <t>PAM</t>
  </si>
  <si>
    <t>ZAMUDIO4283</t>
  </si>
  <si>
    <t>C ANTONIO LOPEZ</t>
  </si>
  <si>
    <t>ALOLAGUIRRE</t>
  </si>
  <si>
    <t>2339  DPTO 3</t>
  </si>
  <si>
    <t>MISTRLAL</t>
  </si>
  <si>
    <t xml:space="preserve">NUEVA YORK </t>
  </si>
  <si>
    <t>4184 P BAJA B</t>
  </si>
  <si>
    <t>TARTAGAL</t>
  </si>
  <si>
    <t>2291 DPTO 2</t>
  </si>
  <si>
    <t>HUEVOS</t>
  </si>
  <si>
    <t>4555    6A</t>
  </si>
  <si>
    <t>PIATTO</t>
  </si>
  <si>
    <t>COCA</t>
  </si>
  <si>
    <t>ESPECIAS</t>
  </si>
  <si>
    <t>LIMPIZA</t>
  </si>
  <si>
    <t>4635 TIM 3°C</t>
  </si>
  <si>
    <t>2362 DPTO 5</t>
  </si>
  <si>
    <t>VALLAJOS</t>
  </si>
  <si>
    <t>3236 8° A</t>
  </si>
  <si>
    <t>3965 P BAJA A</t>
  </si>
  <si>
    <t xml:space="preserve">RANCHOS					</t>
  </si>
  <si>
    <t>RUCULA</t>
  </si>
  <si>
    <t>PROVOLETA</t>
  </si>
  <si>
    <t>JOSUE</t>
  </si>
  <si>
    <t>1918 5/D</t>
  </si>
  <si>
    <t>2113 7/A</t>
  </si>
  <si>
    <t>CLAUDIO</t>
  </si>
  <si>
    <t>PAPEL</t>
  </si>
  <si>
    <t xml:space="preserve">NAFTA </t>
  </si>
  <si>
    <t>LAVADERO</t>
  </si>
  <si>
    <t>VIDRIOS</t>
  </si>
  <si>
    <t>CHEEDAE</t>
  </si>
  <si>
    <t>LEVITE</t>
  </si>
  <si>
    <t>LUZ</t>
  </si>
  <si>
    <t>CERNEZA</t>
  </si>
  <si>
    <t>2280  TIM ARRIBA</t>
  </si>
  <si>
    <t>ALMACEN</t>
  </si>
  <si>
    <t xml:space="preserve"> FRIGORIFICO</t>
  </si>
  <si>
    <t>4883  1-3</t>
  </si>
  <si>
    <t>PROVO</t>
  </si>
  <si>
    <t>4269     DEPTO C</t>
  </si>
  <si>
    <t>2960  1-C</t>
  </si>
  <si>
    <t>LAVANDINA</t>
  </si>
  <si>
    <t xml:space="preserve">TERRADA </t>
  </si>
  <si>
    <t>4269 T/C</t>
  </si>
  <si>
    <t>GRACIELA</t>
  </si>
  <si>
    <t>4090 7/C</t>
  </si>
  <si>
    <t>4883 DTO3</t>
  </si>
  <si>
    <t xml:space="preserve">ARTIGAS </t>
  </si>
  <si>
    <t>4528 3/A</t>
  </si>
  <si>
    <t>2614 DTO 1</t>
  </si>
  <si>
    <t>3167 T4</t>
  </si>
  <si>
    <t>5401 PLANTA ALTA</t>
  </si>
  <si>
    <t>HUEVO</t>
  </si>
  <si>
    <t>TE</t>
  </si>
  <si>
    <t>1204  4C</t>
  </si>
  <si>
    <t>3045   PISO 3</t>
  </si>
  <si>
    <t>DC</t>
  </si>
  <si>
    <t>EDENOR</t>
  </si>
  <si>
    <t>BARRAZA</t>
  </si>
  <si>
    <t>4953 3/D</t>
  </si>
  <si>
    <t>FLORERIA MOSCONI</t>
  </si>
  <si>
    <t>2329 DTO3</t>
  </si>
  <si>
    <t>2960  1C</t>
  </si>
  <si>
    <t>CARTELES</t>
  </si>
  <si>
    <t>CINTA</t>
  </si>
  <si>
    <t>CARTAS</t>
  </si>
  <si>
    <t>JAVIER</t>
  </si>
  <si>
    <t>2379 DTO3</t>
  </si>
  <si>
    <t>4883 T/3</t>
  </si>
  <si>
    <t xml:space="preserve">PAN					</t>
  </si>
  <si>
    <t xml:space="preserve">DIA	</t>
  </si>
  <si>
    <t>2280 T ARRIBA</t>
  </si>
  <si>
    <t>VEP</t>
  </si>
  <si>
    <t>DETER Y TAPAS</t>
  </si>
  <si>
    <t>CEVVEZA</t>
  </si>
  <si>
    <t>QUESO</t>
  </si>
  <si>
    <t>MOTIVO</t>
  </si>
  <si>
    <t>RANCHIS</t>
  </si>
  <si>
    <t>2748 CORRALON</t>
  </si>
  <si>
    <t>3372 DT 5</t>
  </si>
  <si>
    <t>4194 3/A</t>
  </si>
  <si>
    <t>EMI</t>
  </si>
  <si>
    <t>CERRAJERIA</t>
  </si>
  <si>
    <t>2654 DTO B</t>
  </si>
  <si>
    <t>2377   AGENCIA</t>
  </si>
  <si>
    <t>LOS AMIGOS</t>
  </si>
  <si>
    <t>4536 5/B</t>
  </si>
  <si>
    <t>POLO</t>
  </si>
  <si>
    <t>CHURROS</t>
  </si>
  <si>
    <t>2185 DTO A</t>
  </si>
  <si>
    <t xml:space="preserve">            VERDU</t>
  </si>
  <si>
    <t>DETERGENTE</t>
  </si>
  <si>
    <t>4194 4/B</t>
  </si>
  <si>
    <t>CORONA</t>
  </si>
  <si>
    <t>4369 DTO A</t>
  </si>
  <si>
    <t>FACTURAS</t>
  </si>
  <si>
    <t>ARROZ</t>
  </si>
  <si>
    <t xml:space="preserve">CHINO		</t>
  </si>
  <si>
    <t xml:space="preserve"> RANCHOS</t>
  </si>
  <si>
    <t>RANCHO</t>
  </si>
  <si>
    <t>WALMART</t>
  </si>
  <si>
    <t>4048 REJA NEGRA</t>
  </si>
  <si>
    <t>MAROLU</t>
  </si>
  <si>
    <t>VINOS</t>
  </si>
  <si>
    <t xml:space="preserve"> DIA</t>
  </si>
  <si>
    <t>2917 PB 3</t>
  </si>
  <si>
    <t>PAMN</t>
  </si>
  <si>
    <t>TIZAS</t>
  </si>
  <si>
    <t>NACHO</t>
  </si>
  <si>
    <t>TOMATE</t>
  </si>
  <si>
    <t>CAFE</t>
  </si>
  <si>
    <t>2899 DTO2</t>
  </si>
  <si>
    <t>3875 DTO6</t>
  </si>
  <si>
    <t>2386 1C</t>
  </si>
  <si>
    <t>TOLDO</t>
  </si>
  <si>
    <t>GATILLO</t>
  </si>
  <si>
    <t>BIRRA</t>
  </si>
  <si>
    <t>VIMNO</t>
  </si>
  <si>
    <t>TAPA</t>
  </si>
  <si>
    <t>MAIO</t>
  </si>
  <si>
    <t>OREGANO</t>
  </si>
  <si>
    <t>PRESINTO</t>
  </si>
  <si>
    <t>PANCETA</t>
  </si>
  <si>
    <t>2129  3-C</t>
  </si>
  <si>
    <t>AJO</t>
  </si>
  <si>
    <t>RAMCHOS</t>
  </si>
  <si>
    <t>BACI</t>
  </si>
  <si>
    <t>4055 PB A</t>
  </si>
  <si>
    <t>TAPQAS</t>
  </si>
  <si>
    <t xml:space="preserve">LUZ </t>
  </si>
  <si>
    <t>TELECOM</t>
  </si>
  <si>
    <t xml:space="preserve">DIA					</t>
  </si>
  <si>
    <t>PAPAS</t>
  </si>
  <si>
    <t>3040 TIM-8</t>
  </si>
  <si>
    <t>2345  2-C</t>
  </si>
  <si>
    <t>KIOCO</t>
  </si>
  <si>
    <t>2335 DTO2</t>
  </si>
  <si>
    <t>OLIVA</t>
  </si>
  <si>
    <t>POLLITOS</t>
  </si>
  <si>
    <t>COPIAS</t>
  </si>
  <si>
    <t>FILET</t>
  </si>
  <si>
    <t xml:space="preserve">          PAN</t>
  </si>
  <si>
    <t>TALLER</t>
  </si>
  <si>
    <t>2121    FACUNDO</t>
  </si>
  <si>
    <t>2280 T 2</t>
  </si>
  <si>
    <t>4609 DTO 2</t>
  </si>
  <si>
    <t>VINAGRE</t>
  </si>
  <si>
    <t>FACRTURAS</t>
  </si>
  <si>
    <t xml:space="preserve"> BEBEIDA</t>
  </si>
  <si>
    <t>ARQUITECTURA</t>
  </si>
  <si>
    <t xml:space="preserve">DIA			</t>
  </si>
  <si>
    <t xml:space="preserve"> PAN</t>
  </si>
  <si>
    <t>3838 P BAJA 1</t>
  </si>
  <si>
    <t>3794 3 C</t>
  </si>
  <si>
    <t>5251 1°B</t>
  </si>
  <si>
    <t xml:space="preserve">MADERA </t>
  </si>
  <si>
    <t>ROQUEFORT</t>
  </si>
  <si>
    <t xml:space="preserve">2944 DTO B </t>
  </si>
  <si>
    <t>DULCE</t>
  </si>
  <si>
    <t>SUCRE</t>
  </si>
  <si>
    <t xml:space="preserve">VERDU	</t>
  </si>
  <si>
    <t xml:space="preserve"> 3287 6/A</t>
  </si>
  <si>
    <t>4194  5A</t>
  </si>
  <si>
    <t>AFIP</t>
  </si>
  <si>
    <t>4536 2/C</t>
  </si>
  <si>
    <t>3758  COTILLON</t>
  </si>
  <si>
    <t>HEADERIA</t>
  </si>
  <si>
    <t>2151   FACU</t>
  </si>
  <si>
    <t>FERNET</t>
  </si>
  <si>
    <t>APORT</t>
  </si>
  <si>
    <t>AGUINALDO JOSU</t>
  </si>
  <si>
    <t>MARCADOR</t>
  </si>
  <si>
    <t>2565 PB B</t>
  </si>
  <si>
    <t>COMI</t>
  </si>
  <si>
    <t>4217 FABRI EMPANADAS</t>
  </si>
  <si>
    <t>BOLSAS</t>
  </si>
  <si>
    <t>4194 2A</t>
  </si>
  <si>
    <t>LAVAND</t>
  </si>
  <si>
    <t>Tortas</t>
  </si>
  <si>
    <t>Brownie c. nueces</t>
  </si>
  <si>
    <t>Crumble Manzana</t>
  </si>
  <si>
    <t>Crumble Coco</t>
  </si>
  <si>
    <t>Lemon Pie</t>
  </si>
  <si>
    <t>Tarta de Lima</t>
  </si>
  <si>
    <t>Carrot Cake</t>
  </si>
  <si>
    <t>Cheescake Oreo</t>
  </si>
  <si>
    <t>Budines</t>
  </si>
  <si>
    <t>Limón c. Amapola</t>
  </si>
  <si>
    <t>Pera y Jengibre</t>
  </si>
  <si>
    <t>Chocolate y Nuez</t>
  </si>
  <si>
    <t>Frutos Secos</t>
  </si>
  <si>
    <t>Alfajor Chocolate</t>
  </si>
  <si>
    <t>Alfacoco</t>
  </si>
  <si>
    <t>Scon de Queso</t>
  </si>
  <si>
    <t>Tostados</t>
  </si>
  <si>
    <t>Cheedar y Jamón</t>
  </si>
  <si>
    <t>Jamón y Queso</t>
  </si>
  <si>
    <t>3 Quesos</t>
  </si>
  <si>
    <t>Bonjour Monsieur</t>
  </si>
  <si>
    <t>Sandwiches Focaccia o Negro</t>
  </si>
  <si>
    <t>Desayunos y Meriendas</t>
  </si>
  <si>
    <t>Porteño</t>
  </si>
  <si>
    <t>Energético</t>
  </si>
  <si>
    <t>Viajero</t>
  </si>
  <si>
    <t>De la Abuela</t>
  </si>
  <si>
    <t>Glotón</t>
  </si>
  <si>
    <t>Omelettes</t>
  </si>
  <si>
    <t>Wraps</t>
  </si>
  <si>
    <t>Brunch</t>
  </si>
  <si>
    <t>Tartas</t>
  </si>
  <si>
    <t>Cheescake c. fr rojos</t>
  </si>
  <si>
    <t>Bonjour Monsieur c. Hue</t>
  </si>
  <si>
    <t>Ens. Caesar</t>
  </si>
  <si>
    <t>Sand. Caesar</t>
  </si>
  <si>
    <t>Brownie c. dl y nueces</t>
  </si>
  <si>
    <t>Scon de Q Rell</t>
  </si>
  <si>
    <t>Ens. Salmon</t>
  </si>
  <si>
    <t>Ens. Primavera</t>
  </si>
  <si>
    <t>Café</t>
  </si>
  <si>
    <t>Cortado</t>
  </si>
  <si>
    <t>Café con leche</t>
  </si>
  <si>
    <t>Te</t>
  </si>
  <si>
    <t>Agua</t>
  </si>
  <si>
    <t>Cerveza</t>
  </si>
  <si>
    <t>Aperitivos</t>
  </si>
  <si>
    <t>Exprimido Chico</t>
  </si>
  <si>
    <t>Exprimido Grande</t>
  </si>
  <si>
    <t>Recargo</t>
  </si>
  <si>
    <t>Roosevelt 5501</t>
  </si>
  <si>
    <t>15-3009-5036</t>
  </si>
  <si>
    <t>Media luna</t>
  </si>
  <si>
    <t>Submarino</t>
  </si>
  <si>
    <t>Clasico</t>
  </si>
  <si>
    <t>Sand. Veggie</t>
  </si>
  <si>
    <t>Sand. Pollo</t>
  </si>
  <si>
    <t>Scon JyQ</t>
  </si>
  <si>
    <t>Scon Jamon Crudo</t>
  </si>
  <si>
    <t>Scon Salmon</t>
  </si>
  <si>
    <t>Cuadrado</t>
  </si>
  <si>
    <t>Lingote</t>
  </si>
  <si>
    <t>Mini Torta</t>
  </si>
  <si>
    <t>Media Luna Rellena</t>
  </si>
  <si>
    <t>Tost. Avocado</t>
  </si>
  <si>
    <t>Tost. Serrano</t>
  </si>
  <si>
    <t>Tost. Salmon</t>
  </si>
  <si>
    <t>Crema</t>
  </si>
  <si>
    <t>Panceta</t>
  </si>
  <si>
    <t>Leche de Almendras</t>
  </si>
  <si>
    <t>Cafe Chico</t>
  </si>
  <si>
    <t>Cafe Mediano</t>
  </si>
  <si>
    <t>Cafe Largo</t>
  </si>
  <si>
    <t>Cafe XL</t>
  </si>
  <si>
    <t>Capuccino</t>
  </si>
  <si>
    <t>Vaso Limo</t>
  </si>
  <si>
    <t>Botella Limo</t>
  </si>
  <si>
    <t>Lata</t>
  </si>
  <si>
    <t>Alfajor</t>
  </si>
  <si>
    <t>Budin</t>
  </si>
  <si>
    <t>Plato del dia</t>
  </si>
  <si>
    <t>Cookie</t>
  </si>
  <si>
    <t>Promo</t>
  </si>
  <si>
    <t>Brownie</t>
  </si>
  <si>
    <t>Promo medialunas</t>
  </si>
  <si>
    <t>Bowl de Yogurth</t>
  </si>
  <si>
    <t>Ens. Granjera</t>
  </si>
  <si>
    <t>Plato del Día</t>
  </si>
  <si>
    <t>Plato del Día 2</t>
  </si>
  <si>
    <t>Plato del Día 3</t>
  </si>
  <si>
    <t>Plato del Día 4</t>
  </si>
  <si>
    <t>Sand. Bondiola</t>
  </si>
  <si>
    <t>Hamburguesas</t>
  </si>
  <si>
    <t>Huevos Revueltos</t>
  </si>
  <si>
    <t>Tost. Jamon Crudo</t>
  </si>
  <si>
    <t>Tost. Revuelto</t>
  </si>
  <si>
    <t>Frola</t>
  </si>
  <si>
    <t>Alfajor Especial</t>
  </si>
  <si>
    <t>Tiramisu</t>
  </si>
  <si>
    <t>Marquisse</t>
  </si>
  <si>
    <t>Cheesecake</t>
  </si>
  <si>
    <t>Budin XL</t>
  </si>
  <si>
    <t>Porcion Tostadas</t>
  </si>
  <si>
    <t>Ensalada de Frutas</t>
  </si>
  <si>
    <t>Jamon Crudo</t>
  </si>
  <si>
    <t>Torta Cookies</t>
  </si>
  <si>
    <t>Porcion Huevos</t>
  </si>
  <si>
    <t>Plato del dia 1</t>
  </si>
  <si>
    <t>Plato del dia 2</t>
  </si>
  <si>
    <t>Plato del dia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</si>
</sst>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.00_);\(&quot;$&quot;#,##0.00\)"/>
    <numFmt numFmtId="165" formatCode="&quot;$&quot;#,##0_);[Red]\(&quot;$&quot;#,##0\)"/>
    <numFmt numFmtId="166" formatCode="_(* #,##0.00_);_(* \(#,##0.00\);_(* &quot;-&quot;??_);_(@_)"/>
    <numFmt numFmtId="167" formatCode="_-* #,##0_-;\-* #,##0_-;_-* &quot;-&quot;??_-;_-@_-"/>
    <numFmt numFmtId="168" formatCode="d\-m\-yyyy\ hh&quot; hs&quot;\ mm\ &quot;min&quot;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222222"/>
      <name val="Arial"/>
      <family val="2"/>
    </font>
    <font>
      <u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222222"/>
      <name val="Arial"/>
      <family val="2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dotted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166" fontId="2" fillId="0" borderId="0" applyFont="0" applyFill="0" applyBorder="0" applyAlignment="0" applyProtection="0"/>
  </cellStyleXfs>
  <cellXfs count="48">
    <xf numFmtId="0" fontId="0" fillId="0" borderId="0" xfId="0"/>
    <xf numFmtId="22" fontId="0" fillId="0" borderId="0" xfId="0" applyNumberFormat="1"/>
    <xf numFmtId="22" fontId="3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  <xf numFmtId="0" fontId="4" fillId="0" borderId="0" xfId="0" applyFont="1"/>
    <xf numFmtId="0" fontId="3" fillId="0" borderId="0" xfId="0" applyFont="1"/>
    <xf numFmtId="0" fontId="1" fillId="0" borderId="1" xfId="0" applyFont="1" applyBorder="1" applyAlignment="1">
      <alignment horizontal="center"/>
    </xf>
    <xf numFmtId="167" fontId="1" fillId="0" borderId="1" xfId="1" applyNumberFormat="1" applyFont="1" applyBorder="1" applyAlignment="1">
      <alignment horizontal="center"/>
    </xf>
    <xf numFmtId="0" fontId="3" fillId="0" borderId="0" xfId="1" applyNumberFormat="1" applyFont="1" applyAlignment="1">
      <alignment horizontal="left"/>
    </xf>
    <xf numFmtId="0" fontId="4" fillId="0" borderId="0" xfId="0" applyFont="1" applyAlignment="1">
      <alignment horizontal="right"/>
    </xf>
    <xf numFmtId="168" fontId="0" fillId="0" borderId="0" xfId="0" applyNumberFormat="1"/>
    <xf numFmtId="14" fontId="0" fillId="0" borderId="0" xfId="0" applyNumberFormat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3" borderId="0" xfId="0" applyFill="1"/>
    <xf numFmtId="0" fontId="1" fillId="3" borderId="0" xfId="0" applyFont="1" applyFill="1" applyAlignment="1">
      <alignment horizontal="center"/>
    </xf>
    <xf numFmtId="0" fontId="0" fillId="4" borderId="0" xfId="0" applyFill="1"/>
    <xf numFmtId="0" fontId="5" fillId="3" borderId="0" xfId="0" applyFont="1" applyFill="1"/>
    <xf numFmtId="22" fontId="0" fillId="4" borderId="0" xfId="0" applyNumberFormat="1" applyFill="1"/>
    <xf numFmtId="0" fontId="0" fillId="4" borderId="4" xfId="0" applyFill="1" applyBorder="1" applyAlignment="1">
      <alignment wrapText="1"/>
    </xf>
    <xf numFmtId="0" fontId="0" fillId="4" borderId="2" xfId="0" applyFill="1" applyBorder="1" applyAlignment="1">
      <alignment horizontal="center" wrapText="1"/>
    </xf>
    <xf numFmtId="0" fontId="0" fillId="4" borderId="2" xfId="0" applyFill="1" applyBorder="1" applyAlignment="1">
      <alignment horizontal="center"/>
    </xf>
    <xf numFmtId="0" fontId="6" fillId="4" borderId="0" xfId="0" applyFont="1" applyFill="1"/>
    <xf numFmtId="0" fontId="7" fillId="0" borderId="0" xfId="0" applyFont="1"/>
    <xf numFmtId="0" fontId="8" fillId="0" borderId="0" xfId="0" applyFont="1"/>
    <xf numFmtId="0" fontId="9" fillId="0" borderId="0" xfId="0" applyFont="1" applyAlignment="1">
      <alignment horizontal="right"/>
    </xf>
    <xf numFmtId="0" fontId="9" fillId="0" borderId="0" xfId="0" applyFont="1"/>
    <xf numFmtId="22" fontId="7" fillId="0" borderId="0" xfId="0" applyNumberFormat="1" applyFont="1" applyAlignment="1">
      <alignment horizontal="left"/>
    </xf>
    <xf numFmtId="168" fontId="0" fillId="0" borderId="0" xfId="0" applyNumberFormat="1" applyAlignment="1">
      <alignment horizontal="right"/>
    </xf>
    <xf numFmtId="14" fontId="0" fillId="3" borderId="0" xfId="0" applyNumberFormat="1" applyFill="1"/>
    <xf numFmtId="0" fontId="10" fillId="0" borderId="0" xfId="0" applyFont="1" applyAlignment="1">
      <alignment horizontal="center"/>
    </xf>
    <xf numFmtId="20" fontId="0" fillId="3" borderId="0" xfId="0" applyNumberFormat="1" applyFill="1"/>
    <xf numFmtId="0" fontId="0" fillId="5" borderId="0" xfId="0" applyFill="1"/>
    <xf numFmtId="0" fontId="0" fillId="0" borderId="0" xfId="0" applyFill="1"/>
    <xf numFmtId="0" fontId="0" fillId="6" borderId="0" xfId="0" applyFill="1"/>
    <xf numFmtId="20" fontId="0" fillId="6" borderId="0" xfId="0" applyNumberFormat="1" applyFill="1"/>
    <xf numFmtId="12" fontId="0" fillId="0" borderId="0" xfId="0" applyNumberFormat="1"/>
    <xf numFmtId="13" fontId="0" fillId="0" borderId="0" xfId="0" applyNumberFormat="1"/>
    <xf numFmtId="165" fontId="0" fillId="0" borderId="0" xfId="0" applyNumberFormat="1"/>
    <xf numFmtId="165" fontId="0" fillId="0" borderId="0" xfId="0" applyNumberFormat="1"/>
    <xf numFmtId="165" fontId="0" fillId="0" borderId="0" xfId="0" applyNumberFormat="1"/>
    <xf numFmtId="164" fontId="0" fillId="0" borderId="0" xfId="0" applyNumberFormat="1" applyAlignment="1">
      <alignment horizontal="left"/>
    </xf>
    <xf numFmtId="165" fontId="6" fillId="4" borderId="0" xfId="0" applyNumberFormat="1" applyFont="1" applyFill="1"/>
    <xf numFmtId="0" fontId="5" fillId="3" borderId="0" xfId="0" quotePrefix="1" applyFont="1" applyFill="1"/>
    <xf numFmtId="0" fontId="0" fillId="0" borderId="0" xfId="0" applyFont="1"/>
    <xf numFmtId="0" fontId="7" fillId="0" borderId="0" xfId="0" applyFont="1" applyAlignment="1">
      <alignment horizontal="left"/>
    </xf>
    <xf numFmtId="0" fontId="0" fillId="7" borderId="0" xfId="0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390525</xdr:colOff>
          <xdr:row>11</xdr:row>
          <xdr:rowOff>123825</xdr:rowOff>
        </xdr:from>
        <xdr:to>
          <xdr:col>8</xdr:col>
          <xdr:colOff>209550</xdr:colOff>
          <xdr:row>18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21</xdr:col>
      <xdr:colOff>129540</xdr:colOff>
      <xdr:row>0</xdr:row>
      <xdr:rowOff>138430</xdr:rowOff>
    </xdr:from>
    <xdr:to>
      <xdr:col>24</xdr:col>
      <xdr:colOff>116841</xdr:colOff>
      <xdr:row>1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71120" y="138430"/>
          <a:ext cx="1793240" cy="6616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304800</xdr:colOff>
          <xdr:row>11</xdr:row>
          <xdr:rowOff>152400</xdr:rowOff>
        </xdr:from>
        <xdr:to>
          <xdr:col>19</xdr:col>
          <xdr:colOff>133350</xdr:colOff>
          <xdr:row>18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11</xdr:row>
          <xdr:rowOff>133350</xdr:rowOff>
        </xdr:from>
        <xdr:to>
          <xdr:col>13</xdr:col>
          <xdr:colOff>523875</xdr:colOff>
          <xdr:row>18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Gastos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73268</xdr:colOff>
      <xdr:row>31</xdr:row>
      <xdr:rowOff>103261</xdr:rowOff>
    </xdr:from>
    <xdr:to>
      <xdr:col>3</xdr:col>
      <xdr:colOff>40541</xdr:colOff>
      <xdr:row>35</xdr:row>
      <xdr:rowOff>31506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6499665"/>
          <a:ext cx="1703754" cy="692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790148" cy="666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737553" cy="6667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737553" cy="666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11" name="Picture 5">
          <a:extLst>
            <a:ext uri="{FF2B5EF4-FFF2-40B4-BE49-F238E27FC236}">
              <a16:creationId xmlns:a16="http://schemas.microsoft.com/office/drawing/2014/main" id="{00000000-0008-0000-1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737553" cy="666750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169545</xdr:colOff>
      <xdr:row>0</xdr:row>
      <xdr:rowOff>59055</xdr:rowOff>
    </xdr:from>
    <xdr:to>
      <xdr:col>2</xdr:col>
      <xdr:colOff>468823</xdr:colOff>
      <xdr:row>0</xdr:row>
      <xdr:rowOff>725805</xdr:rowOff>
    </xdr:to>
    <xdr:pic>
      <xdr:nvPicPr>
        <xdr:cNvPr id="5" name="Picture 5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545" y="59055"/>
          <a:ext cx="1737553" cy="666750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737553" cy="666750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737553" cy="666750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737881" cy="666750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63500</xdr:rowOff>
    </xdr:from>
    <xdr:to>
      <xdr:col>2</xdr:col>
      <xdr:colOff>476250</xdr:colOff>
      <xdr:row>0</xdr:row>
      <xdr:rowOff>730250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63500"/>
          <a:ext cx="1822450" cy="666750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737553" cy="666750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6</xdr:row>
          <xdr:rowOff>0</xdr:rowOff>
        </xdr:from>
        <xdr:to>
          <xdr:col>16</xdr:col>
          <xdr:colOff>533400</xdr:colOff>
          <xdr:row>8</xdr:row>
          <xdr:rowOff>76200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Gastos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52.bin"/><Relationship Id="rId1" Type="http://schemas.openxmlformats.org/officeDocument/2006/relationships/printerSettings" Target="../printerSettings/printerSettings51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7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8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3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rinterSettings" Target="../printerSettings/printerSettings64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rinterSettings" Target="../printerSettings/printerSettings66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8.bin"/><Relationship Id="rId4" Type="http://schemas.openxmlformats.org/officeDocument/2006/relationships/ctrlProp" Target="../ctrlProps/ctrlProp4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rinterSettings" Target="../printerSettings/printerSettings6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3E3A2-D19C-403B-8507-DC08B5B8F090}">
  <sheetPr codeName="Hoja1"/>
  <dimension ref="A1"/>
  <sheetViews>
    <sheetView workbookViewId="0"/>
  </sheetViews>
  <sheetFormatPr defaultColWidth="11.42578125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944AF-E7DC-46CD-819A-BF478F540B64}">
  <sheetPr codeName="Hoja2"/>
  <dimension ref="A1"/>
  <sheetViews>
    <sheetView workbookViewId="0"/>
  </sheetViews>
  <sheetFormatPr defaultColWidth="11.425781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S31"/>
  <sheetViews>
    <sheetView showGridLines="0" showRowColHeaders="0" tabSelected="1" zoomScale="130" zoomScaleNormal="130" workbookViewId="0"/>
  </sheetViews>
  <sheetFormatPr defaultColWidth="8.7109375" defaultRowHeight="15" x14ac:dyDescent="0.25"/>
  <cols>
    <col min="1" max="12" width="8.7109375" style="15"/>
    <col min="13" max="13" width="11.28515625" style="15" bestFit="1" customWidth="1"/>
    <col min="14" max="16384" width="8.7109375" style="15"/>
  </cols>
  <sheetData>
    <row r="1" spans="1:19" ht="61.15" customHeight="1" x14ac:dyDescent="0.25">
      <c r="A1" s="44"/>
    </row>
    <row r="2" spans="1:19" ht="13.5" customHeight="1" x14ac:dyDescent="0.25">
      <c r="G2" s="16"/>
      <c r="H2" s="16"/>
      <c r="I2" s="16"/>
    </row>
    <row r="3" spans="1:19" ht="13.5" customHeight="1" x14ac:dyDescent="0.25"/>
    <row r="4" spans="1:19" ht="13.5" customHeight="1" x14ac:dyDescent="0.25"/>
    <row r="5" spans="1:19" ht="13.5" customHeight="1" x14ac:dyDescent="0.25"/>
    <row r="10" spans="1:19" x14ac:dyDescent="0.25">
      <c r="F10" s="18"/>
    </row>
    <row r="12" spans="1:19" x14ac:dyDescent="0.25">
      <c r="S12" s="18"/>
    </row>
    <row r="14" spans="1:19" x14ac:dyDescent="0.25">
      <c r="I14" s="15" t="s">
        <v>18</v>
      </c>
    </row>
    <row r="15" spans="1:19" x14ac:dyDescent="0.25">
      <c r="I15" s="15" t="s">
        <v>10</v>
      </c>
    </row>
    <row r="16" spans="1:19" x14ac:dyDescent="0.25">
      <c r="I16" s="15" t="s">
        <v>10</v>
      </c>
      <c r="P16" s="18"/>
    </row>
    <row r="17" spans="4:16" x14ac:dyDescent="0.25">
      <c r="I17" s="15" t="s">
        <v>10</v>
      </c>
      <c r="J17" s="18"/>
    </row>
    <row r="18" spans="4:16" x14ac:dyDescent="0.25">
      <c r="I18" s="15" t="s">
        <v>10</v>
      </c>
    </row>
    <row r="19" spans="4:16" x14ac:dyDescent="0.25">
      <c r="I19" s="15" t="s">
        <v>10</v>
      </c>
    </row>
    <row r="20" spans="4:16" x14ac:dyDescent="0.25">
      <c r="I20" s="15" t="s">
        <v>10</v>
      </c>
    </row>
    <row r="22" spans="4:16" x14ac:dyDescent="0.25">
      <c r="J22" s="15" t="s">
        <v>20</v>
      </c>
      <c r="P22" s="18"/>
    </row>
    <row r="23" spans="4:16" x14ac:dyDescent="0.25">
      <c r="D23" s="18"/>
    </row>
    <row r="24" spans="4:16" x14ac:dyDescent="0.25">
      <c r="H24" s="18"/>
    </row>
    <row r="25" spans="4:16" x14ac:dyDescent="0.25">
      <c r="F25" s="15" t="s">
        <v>19</v>
      </c>
      <c r="M25" s="30"/>
    </row>
    <row r="26" spans="4:16" x14ac:dyDescent="0.25">
      <c r="H26" s="15" t="s">
        <v>21</v>
      </c>
    </row>
    <row r="29" spans="4:16" x14ac:dyDescent="0.25">
      <c r="I29" s="18"/>
    </row>
    <row r="31" spans="4:16" x14ac:dyDescent="0.25">
      <c r="G31" s="18"/>
    </row>
  </sheetData>
  <customSheetViews>
    <customSheetView guid="{CCC669E6-9206-451E-B429-F917E5EBF5A5}" scale="130" showPageBreaks="1" showGridLines="0" showRowCol="0">
      <selection activeCell="G23" sqref="G23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ABRIR_RETO">
                <anchor moveWithCells="1" sizeWithCells="1">
                  <from>
                    <xdr:col>4</xdr:col>
                    <xdr:colOff>390525</xdr:colOff>
                    <xdr:row>11</xdr:row>
                    <xdr:rowOff>123825</xdr:rowOff>
                  </from>
                  <to>
                    <xdr:col>8</xdr:col>
                    <xdr:colOff>209550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gestion">
                <anchor moveWithCells="1" sizeWithCells="1">
                  <from>
                    <xdr:col>15</xdr:col>
                    <xdr:colOff>304800</xdr:colOff>
                    <xdr:row>11</xdr:row>
                    <xdr:rowOff>152400</xdr:rowOff>
                  </from>
                  <to>
                    <xdr:col>19</xdr:col>
                    <xdr:colOff>133350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gastos">
                <anchor moveWithCells="1" sizeWithCells="1">
                  <from>
                    <xdr:col>10</xdr:col>
                    <xdr:colOff>104775</xdr:colOff>
                    <xdr:row>11</xdr:row>
                    <xdr:rowOff>133350</xdr:rowOff>
                  </from>
                  <to>
                    <xdr:col>13</xdr:col>
                    <xdr:colOff>523875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A1:M1044330"/>
  <sheetViews>
    <sheetView showGridLines="0" showRowColHeaders="0" zoomScale="145" zoomScaleNormal="145" workbookViewId="0">
      <selection activeCell="A7" sqref="A7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13" ht="61.15" customHeight="1" x14ac:dyDescent="0.25">
      <c r="A1"/>
      <c r="B1"/>
      <c r="C1"/>
    </row>
    <row r="2" spans="1:13" ht="13.5" customHeight="1" x14ac:dyDescent="0.25">
      <c r="A2" s="5" t="s">
        <v>6</v>
      </c>
      <c r="B2" s="3"/>
      <c r="C2"/>
      <c r="K2" s="16"/>
      <c r="L2" s="16"/>
      <c r="M2" s="16"/>
    </row>
    <row r="3" spans="1:13" ht="13.5" customHeight="1" x14ac:dyDescent="0.25">
      <c r="A3" s="4" t="s">
        <v>7</v>
      </c>
      <c r="B3" s="5"/>
      <c r="C3"/>
    </row>
    <row r="4" spans="1:13" ht="13.5" customHeight="1" x14ac:dyDescent="0.25">
      <c r="A4" s="5" t="s">
        <v>5</v>
      </c>
      <c r="B4" s="2">
        <f ca="1">+NOW()</f>
        <v>44837.500996180555</v>
      </c>
      <c r="C4"/>
    </row>
    <row r="5" spans="1:13" ht="13.5" customHeight="1" x14ac:dyDescent="0.25">
      <c r="A5" s="4" t="s">
        <v>8</v>
      </c>
      <c r="B5" s="8">
        <v>10</v>
      </c>
      <c r="C5" s="1"/>
      <c r="I5" s="32"/>
    </row>
    <row r="6" spans="1:13" x14ac:dyDescent="0.25">
      <c r="A6" s="6" t="s">
        <v>3</v>
      </c>
      <c r="B6" s="7" t="s">
        <v>4</v>
      </c>
      <c r="C6" s="6" t="s">
        <v>2</v>
      </c>
      <c r="F6" s="15" t="s">
        <v>10</v>
      </c>
    </row>
    <row r="1044330" spans="2:2" x14ac:dyDescent="0.25">
      <c r="B1044330" s="25"/>
    </row>
  </sheetData>
  <sheetProtection algorithmName="SHA-512" hashValue="nkS9EmWgx9yxP7TjXzubirIigruOC/OZVNeIlseDqu0//GzV9rJ3CaCVlRr4dtYPLR+/Tfd16CgVtbonlRZI3Q==" saltValue="dtD61wZIb+C8eu9Y0o0DsQ==" spinCount="100000" sheet="1" objects="1" scenarios="1"/>
  <customSheetViews>
    <customSheetView guid="{CCC669E6-9206-451E-B429-F917E5EBF5A5}" showPageBreaks="1" showGridLines="0" showRowCol="0" printArea="1">
      <selection activeCell="R15" sqref="R15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pageSetUpPr autoPageBreaks="0"/>
  </sheetPr>
  <dimension ref="A1:M1047775"/>
  <sheetViews>
    <sheetView showGridLines="0" showRowColHeaders="0" zoomScale="145" zoomScaleNormal="145" workbookViewId="0">
      <selection activeCell="A7" sqref="A7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13" ht="61.15" customHeight="1" x14ac:dyDescent="0.25">
      <c r="A1"/>
      <c r="B1"/>
      <c r="C1"/>
    </row>
    <row r="2" spans="1:13" ht="13.5" customHeight="1" x14ac:dyDescent="0.25">
      <c r="A2" s="5" t="s">
        <v>848</v>
      </c>
      <c r="B2" s="3"/>
      <c r="C2"/>
      <c r="K2" s="16"/>
      <c r="L2" s="16"/>
      <c r="M2" s="16"/>
    </row>
    <row r="3" spans="1:13" ht="13.5" customHeight="1" x14ac:dyDescent="0.25">
      <c r="A3" s="4" t="s">
        <v>849</v>
      </c>
      <c r="B3" s="5"/>
      <c r="C3"/>
    </row>
    <row r="4" spans="1:13" ht="13.5" customHeight="1" x14ac:dyDescent="0.25">
      <c r="A4" s="5" t="s">
        <v>5</v>
      </c>
      <c r="B4" s="2">
        <f ca="1">+NOW()</f>
        <v>44837.500996180555</v>
      </c>
      <c r="C4"/>
    </row>
    <row r="5" spans="1:13" ht="13.5" customHeight="1" x14ac:dyDescent="0.25">
      <c r="A5" s="4" t="s">
        <v>8</v>
      </c>
      <c r="B5" s="8">
        <v>11</v>
      </c>
      <c r="C5" s="1"/>
      <c r="I5" s="32"/>
    </row>
    <row r="6" spans="1:13" x14ac:dyDescent="0.25">
      <c r="A6" s="6" t="s">
        <v>3</v>
      </c>
      <c r="B6" s="7" t="s">
        <v>4</v>
      </c>
      <c r="C6" s="6" t="s">
        <v>2</v>
      </c>
      <c r="F6" s="15" t="s">
        <v>10</v>
      </c>
    </row>
    <row r="1047775" spans="2:2" x14ac:dyDescent="0.25">
      <c r="B1047775" s="25"/>
    </row>
  </sheetData>
  <sheetProtection algorithmName="SHA-512" hashValue="kHAbb8ZeR+CmGmZvIAPL+xCxnmrLhnYj5912/lywmBffK2tloKCUs1+dGC75MI/aoIiWrAXv9+aDO9imA/1jyQ==" saltValue="nCB5qRi61gbFX9lxuygYzQ==" spinCount="100000" sheet="1" objects="1" scenarios="1"/>
  <customSheetViews>
    <customSheetView guid="{CCC669E6-9206-451E-B429-F917E5EBF5A5}" showPageBreaks="1" showGridLines="0" showRowCol="0">
      <selection activeCell="C10" sqref="C10"/>
      <pageMargins left="0.25" right="0.25" top="0.75" bottom="0.75" header="0.3" footer="0.3"/>
      <pageSetup paperSize="154" orientation="portrait" r:id="rId1"/>
    </customSheetView>
  </customSheetViews>
  <pageMargins left="0.15" right="0.05" top="0.05" bottom="0.05" header="0.3" footer="0.3"/>
  <pageSetup paperSize="154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>
    <pageSetUpPr autoPageBreaks="0"/>
  </sheetPr>
  <dimension ref="A1:M1047772"/>
  <sheetViews>
    <sheetView showGridLines="0" showRowColHeaders="0" zoomScale="145" zoomScaleNormal="145" workbookViewId="0">
      <selection activeCell="B12" sqref="B12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13" ht="61.15" customHeight="1" x14ac:dyDescent="0.25">
      <c r="A1"/>
      <c r="B1"/>
      <c r="C1"/>
    </row>
    <row r="2" spans="1:13" ht="13.5" customHeight="1" x14ac:dyDescent="0.25">
      <c r="A2" s="5" t="s">
        <v>848</v>
      </c>
      <c r="B2" s="3"/>
      <c r="C2"/>
      <c r="K2" s="16"/>
      <c r="L2" s="16"/>
      <c r="M2" s="16"/>
    </row>
    <row r="3" spans="1:13" ht="13.5" customHeight="1" x14ac:dyDescent="0.25">
      <c r="A3" s="4" t="s">
        <v>849</v>
      </c>
      <c r="B3" s="5"/>
      <c r="C3"/>
    </row>
    <row r="4" spans="1:13" ht="13.5" customHeight="1" x14ac:dyDescent="0.25">
      <c r="A4" s="5" t="s">
        <v>5</v>
      </c>
      <c r="B4" s="2">
        <f ca="1">+NOW()</f>
        <v>44837.500996180555</v>
      </c>
      <c r="C4"/>
    </row>
    <row r="5" spans="1:13" ht="13.5" customHeight="1" x14ac:dyDescent="0.25">
      <c r="A5" s="4" t="s">
        <v>8</v>
      </c>
      <c r="B5" s="8">
        <v>12</v>
      </c>
      <c r="C5" s="1"/>
    </row>
    <row r="6" spans="1:13" x14ac:dyDescent="0.25">
      <c r="A6" s="6" t="s">
        <v>3</v>
      </c>
      <c r="B6" s="7" t="s">
        <v>4</v>
      </c>
      <c r="C6" s="6" t="s">
        <v>2</v>
      </c>
      <c r="F6" s="15" t="s">
        <v>10</v>
      </c>
    </row>
    <row r="1047772" spans="2:2" x14ac:dyDescent="0.25">
      <c r="B1047772" s="25"/>
    </row>
  </sheetData>
  <customSheetViews>
    <customSheetView guid="{CCC669E6-9206-451E-B429-F917E5EBF5A5}" showPageBreaks="1" showGridLines="0" showRowCol="0" state="hidden">
      <selection activeCell="B9" sqref="B9"/>
      <pageMargins left="0.05" right="0.05" top="0.05" bottom="0.0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pageSetUpPr autoPageBreaks="0"/>
  </sheetPr>
  <dimension ref="A1:F6"/>
  <sheetViews>
    <sheetView showGridLines="0" showRowColHeaders="0" zoomScale="145" zoomScaleNormal="145" workbookViewId="0">
      <selection activeCell="A7" sqref="A7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6" ht="61.15" customHeight="1" x14ac:dyDescent="0.25">
      <c r="A1"/>
      <c r="B1"/>
      <c r="C1"/>
    </row>
    <row r="2" spans="1:6" ht="13.5" customHeight="1" x14ac:dyDescent="0.25">
      <c r="A2" s="5" t="s">
        <v>848</v>
      </c>
      <c r="B2" s="3"/>
      <c r="C2"/>
    </row>
    <row r="3" spans="1:6" ht="13.5" customHeight="1" x14ac:dyDescent="0.25">
      <c r="A3" s="4" t="s">
        <v>849</v>
      </c>
      <c r="B3" s="5"/>
      <c r="C3"/>
    </row>
    <row r="4" spans="1:6" ht="13.5" customHeight="1" x14ac:dyDescent="0.25">
      <c r="A4" s="5" t="s">
        <v>5</v>
      </c>
      <c r="B4" s="2">
        <f ca="1">+NOW()</f>
        <v>44837.500996180555</v>
      </c>
      <c r="C4"/>
    </row>
    <row r="5" spans="1:6" ht="13.5" customHeight="1" x14ac:dyDescent="0.25">
      <c r="A5" s="4" t="s">
        <v>8</v>
      </c>
      <c r="B5" s="8">
        <v>13</v>
      </c>
      <c r="C5" s="1"/>
    </row>
    <row r="6" spans="1:6" x14ac:dyDescent="0.25">
      <c r="A6" s="6" t="s">
        <v>3</v>
      </c>
      <c r="B6" s="7" t="s">
        <v>4</v>
      </c>
      <c r="C6" s="6" t="s">
        <v>2</v>
      </c>
      <c r="F6" s="15" t="s">
        <v>10</v>
      </c>
    </row>
  </sheetData>
  <sheetProtection algorithmName="SHA-512" hashValue="R+NmVzfIaC4bStIXaBeAZgESqT9cW62TZKmSvyhhlrvkL25wrbFtnv06y1fenun793wBqMbGhalAWp5jPiL3/w==" saltValue="e4knveJM7q2tTgeul8TmJQ==" spinCount="100000" sheet="1" objects="1" scenarios="1"/>
  <customSheetViews>
    <customSheetView guid="{CCC669E6-9206-451E-B429-F917E5EBF5A5}" showPageBreaks="1" showGridLines="0" showRowCol="0" printArea="1">
      <selection activeCell="G3" sqref="G3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8161-9063-4C5A-AD56-FC9DFF166E57}">
  <sheetPr codeName="Sheet41">
    <pageSetUpPr autoPageBreaks="0"/>
  </sheetPr>
  <dimension ref="A1:M1047771"/>
  <sheetViews>
    <sheetView showGridLines="0" showRowColHeaders="0" zoomScale="145" zoomScaleNormal="145" workbookViewId="0">
      <selection activeCell="B9" sqref="B9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13" ht="61.15" customHeight="1" x14ac:dyDescent="0.25">
      <c r="A1"/>
      <c r="B1"/>
      <c r="C1"/>
    </row>
    <row r="2" spans="1:13" ht="13.5" customHeight="1" x14ac:dyDescent="0.25">
      <c r="A2" s="5" t="s">
        <v>6</v>
      </c>
      <c r="B2" s="3"/>
      <c r="C2"/>
      <c r="K2" s="16"/>
      <c r="L2" s="16"/>
      <c r="M2" s="16"/>
    </row>
    <row r="3" spans="1:13" ht="13.5" customHeight="1" x14ac:dyDescent="0.25">
      <c r="A3" s="4" t="s">
        <v>7</v>
      </c>
      <c r="B3" s="5"/>
      <c r="C3"/>
    </row>
    <row r="4" spans="1:13" ht="13.5" customHeight="1" x14ac:dyDescent="0.25">
      <c r="A4" s="5" t="s">
        <v>5</v>
      </c>
      <c r="B4" s="2">
        <f ca="1">+NOW()</f>
        <v>44837.500996180555</v>
      </c>
      <c r="C4"/>
    </row>
    <row r="5" spans="1:13" ht="13.5" customHeight="1" x14ac:dyDescent="0.25">
      <c r="A5" s="4" t="s">
        <v>8</v>
      </c>
      <c r="B5" s="8">
        <v>20</v>
      </c>
      <c r="C5" s="1"/>
    </row>
    <row r="6" spans="1:13" x14ac:dyDescent="0.25">
      <c r="A6" s="6" t="s">
        <v>3</v>
      </c>
      <c r="B6" s="7" t="s">
        <v>4</v>
      </c>
      <c r="C6" s="6" t="s">
        <v>2</v>
      </c>
      <c r="F6" s="15" t="s">
        <v>10</v>
      </c>
    </row>
    <row r="1047771" spans="2:2" x14ac:dyDescent="0.25">
      <c r="B1047771" s="25"/>
    </row>
  </sheetData>
  <pageMargins left="0.15" right="0.05" top="0.05" bottom="0.0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76CA-887F-4EB5-85DC-42FC1F8CF52E}">
  <sheetPr codeName="Sheet14">
    <pageSetUpPr autoPageBreaks="0"/>
  </sheetPr>
  <dimension ref="A1:M1047940"/>
  <sheetViews>
    <sheetView showGridLines="0" showRowColHeaders="0" zoomScale="145" zoomScaleNormal="145" workbookViewId="0">
      <selection activeCell="A7" sqref="A7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13" ht="61.15" customHeight="1" x14ac:dyDescent="0.25">
      <c r="A1"/>
      <c r="B1"/>
      <c r="C1"/>
    </row>
    <row r="2" spans="1:13" ht="13.5" customHeight="1" x14ac:dyDescent="0.25">
      <c r="A2" s="5" t="s">
        <v>848</v>
      </c>
      <c r="B2" s="3"/>
      <c r="C2"/>
      <c r="K2" s="16"/>
      <c r="L2" s="16"/>
      <c r="M2" s="16"/>
    </row>
    <row r="3" spans="1:13" ht="13.5" customHeight="1" x14ac:dyDescent="0.25">
      <c r="A3" s="4" t="s">
        <v>849</v>
      </c>
      <c r="B3" s="5"/>
      <c r="C3"/>
    </row>
    <row r="4" spans="1:13" ht="13.5" customHeight="1" x14ac:dyDescent="0.25">
      <c r="A4" s="5" t="s">
        <v>5</v>
      </c>
      <c r="B4" s="2">
        <f ca="1">+NOW()</f>
        <v>44837.500996180555</v>
      </c>
      <c r="C4"/>
    </row>
    <row r="5" spans="1:13" ht="13.5" customHeight="1" x14ac:dyDescent="0.25">
      <c r="A5" s="4" t="s">
        <v>8</v>
      </c>
      <c r="B5" s="8">
        <v>21</v>
      </c>
      <c r="C5" s="1"/>
    </row>
    <row r="6" spans="1:13" x14ac:dyDescent="0.25">
      <c r="A6" s="6" t="s">
        <v>3</v>
      </c>
      <c r="B6" s="7" t="s">
        <v>4</v>
      </c>
      <c r="C6" s="6" t="s">
        <v>2</v>
      </c>
      <c r="F6" s="15" t="s">
        <v>10</v>
      </c>
    </row>
    <row r="1047940" spans="2:2" x14ac:dyDescent="0.25">
      <c r="B1047940" s="25"/>
    </row>
  </sheetData>
  <sheetProtection algorithmName="SHA-512" hashValue="PoOoE8MbW+L7GIvEH0dY1Xbyu/gE36HvBAOUyzKKBC530chbk5TpmalVjhr/zAAkjCFLqygQRBAUfxeVHdSIWA==" saltValue="dgqiUr0oc6K3H3J0sR1Ndw==" spinCount="100000" sheet="1" objects="1" scenarios="1"/>
  <pageMargins left="0.15" right="0.05" top="0.05" bottom="0.0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pageSetUpPr autoPageBreaks="0"/>
  </sheetPr>
  <dimension ref="A1:M1046897"/>
  <sheetViews>
    <sheetView showGridLines="0" showRowColHeaders="0" zoomScale="145" zoomScaleNormal="145" workbookViewId="0">
      <selection activeCell="A7" sqref="A7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13" ht="61.15" customHeight="1" x14ac:dyDescent="0.25">
      <c r="A1"/>
      <c r="B1"/>
      <c r="C1"/>
    </row>
    <row r="2" spans="1:13" ht="13.5" customHeight="1" x14ac:dyDescent="0.25">
      <c r="A2" s="5" t="s">
        <v>848</v>
      </c>
      <c r="B2" s="3"/>
      <c r="C2"/>
      <c r="K2" s="16"/>
      <c r="L2" s="16"/>
      <c r="M2" s="16"/>
    </row>
    <row r="3" spans="1:13" ht="13.5" customHeight="1" x14ac:dyDescent="0.25">
      <c r="A3" s="4" t="s">
        <v>849</v>
      </c>
      <c r="B3" s="5"/>
      <c r="C3"/>
    </row>
    <row r="4" spans="1:13" ht="13.5" customHeight="1" x14ac:dyDescent="0.25">
      <c r="A4" s="5" t="s">
        <v>5</v>
      </c>
      <c r="B4" s="2">
        <f ca="1">+NOW()</f>
        <v>44837.500996180555</v>
      </c>
      <c r="C4"/>
    </row>
    <row r="5" spans="1:13" ht="13.5" customHeight="1" x14ac:dyDescent="0.25">
      <c r="A5" s="4" t="s">
        <v>8</v>
      </c>
      <c r="B5" s="8">
        <v>22</v>
      </c>
      <c r="C5" s="1"/>
    </row>
    <row r="6" spans="1:13" x14ac:dyDescent="0.25">
      <c r="A6" s="6" t="s">
        <v>3</v>
      </c>
      <c r="B6" s="7" t="s">
        <v>4</v>
      </c>
      <c r="C6" s="6" t="s">
        <v>2</v>
      </c>
      <c r="F6" s="15" t="s">
        <v>10</v>
      </c>
    </row>
    <row r="1046897" spans="2:2" x14ac:dyDescent="0.25">
      <c r="B1046897" s="25"/>
    </row>
  </sheetData>
  <sheetProtection algorithmName="SHA-512" hashValue="gWHnQWvyC4sehzMF/Lhf/Ko5ox5aR3ysy/pmtOxpeH6LR9kFTfqHv9A8WLk+nn7IGyilWxeVNDh85xV9QIGXYw==" saltValue="MKLSGNnaERF6HopsLcEaOg==" spinCount="100000" sheet="1" objects="1" scenarios="1"/>
  <customSheetViews>
    <customSheetView guid="{CCC669E6-9206-451E-B429-F917E5EBF5A5}" showPageBreaks="1" showGridLines="0" showRowCol="0">
      <selection activeCell="B5" sqref="B5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pageSetUpPr autoPageBreaks="0"/>
  </sheetPr>
  <dimension ref="A1:C6"/>
  <sheetViews>
    <sheetView showGridLines="0" showRowColHeaders="0" zoomScale="145" zoomScaleNormal="145" workbookViewId="0">
      <selection activeCell="B10" sqref="B10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3" ht="61.15" customHeight="1" x14ac:dyDescent="0.25">
      <c r="A1"/>
      <c r="B1"/>
      <c r="C1"/>
    </row>
    <row r="2" spans="1:3" ht="13.5" customHeight="1" x14ac:dyDescent="0.25">
      <c r="A2" s="5" t="s">
        <v>6</v>
      </c>
      <c r="B2" s="3"/>
      <c r="C2"/>
    </row>
    <row r="3" spans="1:3" ht="13.5" customHeight="1" x14ac:dyDescent="0.25">
      <c r="A3" s="4" t="s">
        <v>7</v>
      </c>
      <c r="B3" s="5"/>
      <c r="C3"/>
    </row>
    <row r="4" spans="1:3" ht="13.5" customHeight="1" x14ac:dyDescent="0.25">
      <c r="A4" s="5" t="s">
        <v>5</v>
      </c>
      <c r="B4" s="2">
        <f ca="1">+NOW()</f>
        <v>44837.500996180555</v>
      </c>
      <c r="C4"/>
    </row>
    <row r="5" spans="1:3" ht="13.5" customHeight="1" x14ac:dyDescent="0.25">
      <c r="A5" s="4" t="s">
        <v>8</v>
      </c>
      <c r="B5" s="8">
        <v>30</v>
      </c>
      <c r="C5" s="1"/>
    </row>
    <row r="6" spans="1:3" x14ac:dyDescent="0.25">
      <c r="A6" s="6" t="s">
        <v>3</v>
      </c>
      <c r="B6" s="7" t="s">
        <v>4</v>
      </c>
      <c r="C6" s="6" t="s">
        <v>2</v>
      </c>
    </row>
  </sheetData>
  <customSheetViews>
    <customSheetView guid="{CCC669E6-9206-451E-B429-F917E5EBF5A5}" showPageBreaks="1" showGridLines="0" showRowCol="0" printArea="1">
      <selection activeCell="J1" sqref="J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8">
    <pageSetUpPr autoPageBreaks="0"/>
  </sheetPr>
  <dimension ref="A1:C6"/>
  <sheetViews>
    <sheetView showGridLines="0" showRowColHeaders="0" zoomScale="145" zoomScaleNormal="145" workbookViewId="0">
      <selection activeCell="B11" sqref="B11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3" ht="61.15" customHeight="1" x14ac:dyDescent="0.25">
      <c r="A1"/>
      <c r="B1"/>
      <c r="C1"/>
    </row>
    <row r="2" spans="1:3" ht="13.5" customHeight="1" x14ac:dyDescent="0.25">
      <c r="A2" s="5" t="s">
        <v>848</v>
      </c>
      <c r="B2" s="3"/>
      <c r="C2"/>
    </row>
    <row r="3" spans="1:3" ht="13.5" customHeight="1" x14ac:dyDescent="0.25">
      <c r="A3" s="4" t="s">
        <v>849</v>
      </c>
      <c r="B3" s="5"/>
      <c r="C3"/>
    </row>
    <row r="4" spans="1:3" ht="13.5" customHeight="1" x14ac:dyDescent="0.25">
      <c r="A4" s="5" t="s">
        <v>5</v>
      </c>
      <c r="B4" s="2">
        <f ca="1">+NOW()</f>
        <v>44837.500996180555</v>
      </c>
      <c r="C4"/>
    </row>
    <row r="5" spans="1:3" ht="13.5" customHeight="1" x14ac:dyDescent="0.25">
      <c r="A5" s="4" t="s">
        <v>8</v>
      </c>
      <c r="B5" s="8">
        <v>41</v>
      </c>
      <c r="C5" s="1"/>
    </row>
    <row r="6" spans="1:3" x14ac:dyDescent="0.25">
      <c r="A6" s="6" t="s">
        <v>3</v>
      </c>
      <c r="B6" s="7" t="s">
        <v>4</v>
      </c>
      <c r="C6" s="6" t="s">
        <v>2</v>
      </c>
    </row>
  </sheetData>
  <customSheetViews>
    <customSheetView guid="{CCC669E6-9206-451E-B429-F917E5EBF5A5}" showPageBreaks="1" showGridLines="0" showRowCol="0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7">
    <pageSetUpPr autoPageBreaks="0"/>
  </sheetPr>
  <dimension ref="A1:M1047580"/>
  <sheetViews>
    <sheetView showGridLines="0" showRowColHeaders="0" zoomScale="145" zoomScaleNormal="145" workbookViewId="0">
      <selection activeCell="A5" sqref="A5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13" ht="61.15" customHeight="1" x14ac:dyDescent="0.25">
      <c r="A1"/>
      <c r="B1"/>
      <c r="C1"/>
    </row>
    <row r="2" spans="1:13" ht="13.5" customHeight="1" x14ac:dyDescent="0.25">
      <c r="A2" s="5" t="s">
        <v>6</v>
      </c>
      <c r="B2" s="3"/>
      <c r="C2"/>
      <c r="K2" s="16"/>
      <c r="L2" s="16"/>
      <c r="M2" s="16"/>
    </row>
    <row r="3" spans="1:13" ht="13.5" customHeight="1" x14ac:dyDescent="0.25">
      <c r="A3" s="4" t="s">
        <v>7</v>
      </c>
      <c r="B3" s="5"/>
      <c r="C3"/>
    </row>
    <row r="4" spans="1:13" ht="13.5" customHeight="1" x14ac:dyDescent="0.25">
      <c r="A4" s="5" t="s">
        <v>5</v>
      </c>
      <c r="B4" s="2">
        <f ca="1">+NOW()</f>
        <v>44837.500996180555</v>
      </c>
      <c r="C4"/>
    </row>
    <row r="5" spans="1:13" ht="13.5" customHeight="1" x14ac:dyDescent="0.25">
      <c r="A5" s="4" t="s">
        <v>8</v>
      </c>
      <c r="B5" s="8">
        <v>40</v>
      </c>
      <c r="C5" s="1"/>
      <c r="I5" s="32"/>
    </row>
    <row r="6" spans="1:13" x14ac:dyDescent="0.25">
      <c r="A6" s="6" t="s">
        <v>3</v>
      </c>
      <c r="B6" s="7" t="s">
        <v>4</v>
      </c>
      <c r="C6" s="6" t="s">
        <v>2</v>
      </c>
      <c r="F6" s="15" t="s">
        <v>10</v>
      </c>
    </row>
    <row r="1047580" spans="2:2" x14ac:dyDescent="0.25">
      <c r="B1047580" s="25"/>
    </row>
  </sheetData>
  <sheetProtection algorithmName="SHA-512" hashValue="zz22LBouAvTqxDZgswkKF4bUooz3oGUoLtkZDf8d2IqHOs5giitw+lyfSVYhZcZtMpa1y9fiahhxGBtZGG+i6A==" saltValue="uVhsNU398DdNVHqxmUSEzQ==" spinCount="100000" sheet="1" objects="1" scenarios="1"/>
  <customSheetViews>
    <customSheetView guid="{CCC669E6-9206-451E-B429-F917E5EBF5A5}" showPageBreaks="1" showGridLines="0" showRowCol="0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9">
    <pageSetUpPr autoPageBreaks="0"/>
  </sheetPr>
  <dimension ref="A1:M1045348"/>
  <sheetViews>
    <sheetView showGridLines="0" showRowColHeaders="0" zoomScale="145" zoomScaleNormal="145" workbookViewId="0">
      <selection activeCell="B8" sqref="B8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13" ht="61.15" customHeight="1" x14ac:dyDescent="0.25">
      <c r="A1"/>
      <c r="B1"/>
      <c r="C1"/>
    </row>
    <row r="2" spans="1:13" ht="13.5" customHeight="1" x14ac:dyDescent="0.25">
      <c r="A2" s="5" t="s">
        <v>6</v>
      </c>
      <c r="B2" s="3"/>
      <c r="C2"/>
      <c r="K2" s="16"/>
      <c r="L2" s="16"/>
      <c r="M2" s="16"/>
    </row>
    <row r="3" spans="1:13" ht="13.5" customHeight="1" x14ac:dyDescent="0.25">
      <c r="A3" s="4" t="s">
        <v>7</v>
      </c>
      <c r="B3" s="5"/>
      <c r="C3"/>
    </row>
    <row r="4" spans="1:13" ht="13.5" customHeight="1" x14ac:dyDescent="0.25">
      <c r="A4" s="5" t="s">
        <v>5</v>
      </c>
      <c r="B4" s="2">
        <f ca="1">+NOW()</f>
        <v>44837.500996180555</v>
      </c>
      <c r="C4"/>
    </row>
    <row r="5" spans="1:13" ht="13.5" customHeight="1" x14ac:dyDescent="0.25">
      <c r="A5" s="4" t="s">
        <v>8</v>
      </c>
      <c r="B5" s="8">
        <v>50</v>
      </c>
      <c r="C5" s="1"/>
      <c r="I5" s="32"/>
    </row>
    <row r="6" spans="1:13" x14ac:dyDescent="0.25">
      <c r="A6" s="6" t="s">
        <v>3</v>
      </c>
      <c r="B6" s="7" t="s">
        <v>4</v>
      </c>
      <c r="C6" s="6" t="s">
        <v>2</v>
      </c>
      <c r="F6" s="15" t="s">
        <v>10</v>
      </c>
    </row>
    <row r="1045348" spans="2:2" x14ac:dyDescent="0.25">
      <c r="B1045348" s="25"/>
    </row>
  </sheetData>
  <customSheetViews>
    <customSheetView guid="{CCC669E6-9206-451E-B429-F917E5EBF5A5}" showPageBreaks="1" showGridLines="0" showRowCol="0" printArea="1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0">
    <pageSetUpPr autoPageBreaks="0"/>
  </sheetPr>
  <dimension ref="A1:C6"/>
  <sheetViews>
    <sheetView showGridLines="0" showRowColHeaders="0" zoomScale="145" zoomScaleNormal="145" workbookViewId="0">
      <selection activeCell="B8" sqref="B8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3" ht="61.15" customHeight="1" x14ac:dyDescent="0.25">
      <c r="A1"/>
      <c r="B1"/>
      <c r="C1"/>
    </row>
    <row r="2" spans="1:3" ht="13.5" customHeight="1" x14ac:dyDescent="0.25">
      <c r="A2" s="5" t="s">
        <v>848</v>
      </c>
      <c r="B2" s="3"/>
      <c r="C2"/>
    </row>
    <row r="3" spans="1:3" ht="13.5" customHeight="1" x14ac:dyDescent="0.25">
      <c r="A3" s="4" t="s">
        <v>849</v>
      </c>
      <c r="B3" s="5"/>
      <c r="C3"/>
    </row>
    <row r="4" spans="1:3" ht="13.5" customHeight="1" x14ac:dyDescent="0.25">
      <c r="A4" s="5" t="s">
        <v>5</v>
      </c>
      <c r="B4" s="2">
        <f ca="1">+NOW()</f>
        <v>44837.500996180555</v>
      </c>
      <c r="C4"/>
    </row>
    <row r="5" spans="1:3" ht="13.5" customHeight="1" x14ac:dyDescent="0.25">
      <c r="A5" s="4" t="s">
        <v>8</v>
      </c>
      <c r="B5" s="8">
        <v>51</v>
      </c>
      <c r="C5" s="1"/>
    </row>
    <row r="6" spans="1:3" x14ac:dyDescent="0.25">
      <c r="A6" s="6" t="s">
        <v>3</v>
      </c>
      <c r="B6" s="7" t="s">
        <v>4</v>
      </c>
      <c r="C6" s="6" t="s">
        <v>2</v>
      </c>
    </row>
  </sheetData>
  <customSheetViews>
    <customSheetView guid="{CCC669E6-9206-451E-B429-F917E5EBF5A5}" showPageBreaks="1" showGridLines="0" showRowCol="0" printArea="1">
      <selection activeCell="A9" sqref="A9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2">
    <pageSetUpPr autoPageBreaks="0"/>
  </sheetPr>
  <dimension ref="A1:M1046206"/>
  <sheetViews>
    <sheetView showGridLines="0" showRowColHeaders="0" zoomScale="145" zoomScaleNormal="145" workbookViewId="0">
      <selection activeCell="A7" sqref="A7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13" ht="61.15" customHeight="1" x14ac:dyDescent="0.25">
      <c r="A1"/>
      <c r="B1"/>
      <c r="C1"/>
    </row>
    <row r="2" spans="1:13" ht="13.5" customHeight="1" x14ac:dyDescent="0.25">
      <c r="A2" s="5" t="s">
        <v>6</v>
      </c>
      <c r="B2" s="3"/>
      <c r="C2"/>
      <c r="K2" s="16"/>
      <c r="L2" s="16"/>
      <c r="M2" s="16"/>
    </row>
    <row r="3" spans="1:13" ht="13.5" customHeight="1" x14ac:dyDescent="0.25">
      <c r="A3" s="4" t="s">
        <v>7</v>
      </c>
      <c r="B3" s="5"/>
      <c r="C3"/>
    </row>
    <row r="4" spans="1:13" ht="13.5" customHeight="1" x14ac:dyDescent="0.25">
      <c r="A4" s="5" t="s">
        <v>5</v>
      </c>
      <c r="B4" s="2">
        <f ca="1">+NOW()</f>
        <v>44837.500996180555</v>
      </c>
      <c r="C4"/>
    </row>
    <row r="5" spans="1:13" ht="13.5" customHeight="1" x14ac:dyDescent="0.25">
      <c r="A5" s="4" t="s">
        <v>8</v>
      </c>
      <c r="B5" s="8">
        <v>1</v>
      </c>
      <c r="C5" s="1"/>
    </row>
    <row r="6" spans="1:13" x14ac:dyDescent="0.25">
      <c r="A6" s="6" t="s">
        <v>3</v>
      </c>
      <c r="B6" s="7" t="s">
        <v>4</v>
      </c>
      <c r="C6" s="6" t="s">
        <v>2</v>
      </c>
      <c r="F6" s="15" t="s">
        <v>10</v>
      </c>
    </row>
    <row r="1046206" spans="2:2" x14ac:dyDescent="0.25">
      <c r="B1046206" s="25"/>
    </row>
  </sheetData>
  <sheetProtection algorithmName="SHA-512" hashValue="uH6jZbOOLZOJnFZNPnVfkdIyyvZVoZNCH4kygf8azOWVoyLXe43VSwu8i3Nf4AEBy+H85AjkxEor7WH9pd7knw==" saltValue="hDTEweR+sTZzr5Uz/t6jcQ==" spinCount="100000" sheet="1" objects="1" scenarios="1"/>
  <customSheetViews>
    <customSheetView guid="{CCC669E6-9206-451E-B429-F917E5EBF5A5}" showPageBreaks="1" showGridLines="0" showRowCol="0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3">
    <pageSetUpPr autoPageBreaks="0"/>
  </sheetPr>
  <dimension ref="A1:M1047036"/>
  <sheetViews>
    <sheetView showGridLines="0" showRowColHeaders="0" zoomScale="145" zoomScaleNormal="145" workbookViewId="0">
      <selection activeCell="B9" sqref="B9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13" ht="61.15" customHeight="1" x14ac:dyDescent="0.25">
      <c r="A1"/>
      <c r="B1"/>
      <c r="C1"/>
    </row>
    <row r="2" spans="1:13" ht="13.5" customHeight="1" x14ac:dyDescent="0.25">
      <c r="A2" s="5" t="s">
        <v>6</v>
      </c>
      <c r="B2" s="3"/>
      <c r="C2"/>
      <c r="K2" s="16"/>
      <c r="L2" s="16"/>
      <c r="M2" s="16"/>
    </row>
    <row r="3" spans="1:13" ht="13.5" customHeight="1" x14ac:dyDescent="0.25">
      <c r="A3" s="4" t="s">
        <v>7</v>
      </c>
      <c r="B3" s="5"/>
      <c r="C3"/>
    </row>
    <row r="4" spans="1:13" ht="13.5" customHeight="1" x14ac:dyDescent="0.25">
      <c r="A4" s="5" t="s">
        <v>5</v>
      </c>
      <c r="B4" s="2">
        <f ca="1">+NOW()</f>
        <v>44837.500996180555</v>
      </c>
      <c r="C4"/>
    </row>
    <row r="5" spans="1:13" ht="13.5" customHeight="1" x14ac:dyDescent="0.25">
      <c r="A5" s="4" t="s">
        <v>8</v>
      </c>
      <c r="B5" s="8" t="s">
        <v>22</v>
      </c>
      <c r="C5" s="1"/>
    </row>
    <row r="6" spans="1:13" x14ac:dyDescent="0.25">
      <c r="A6" s="6" t="s">
        <v>3</v>
      </c>
      <c r="B6" s="7" t="s">
        <v>4</v>
      </c>
      <c r="C6" s="6" t="s">
        <v>2</v>
      </c>
      <c r="F6" s="15" t="s">
        <v>10</v>
      </c>
    </row>
    <row r="1047036" spans="2:2" x14ac:dyDescent="0.25">
      <c r="B1047036" s="25"/>
    </row>
  </sheetData>
  <customSheetViews>
    <customSheetView guid="{CCC669E6-9206-451E-B429-F917E5EBF5A5}" showPageBreaks="1" showGridLines="0" showRowCol="0" printArea="1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4">
    <pageSetUpPr autoPageBreaks="0"/>
  </sheetPr>
  <dimension ref="A1:M1046716"/>
  <sheetViews>
    <sheetView showGridLines="0" showRowColHeaders="0" zoomScale="145" zoomScaleNormal="145" workbookViewId="0">
      <selection activeCell="B11" sqref="B11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13" ht="61.15" customHeight="1" x14ac:dyDescent="0.25">
      <c r="A1"/>
      <c r="B1"/>
      <c r="C1"/>
    </row>
    <row r="2" spans="1:13" ht="13.5" customHeight="1" x14ac:dyDescent="0.25">
      <c r="A2" s="5" t="s">
        <v>6</v>
      </c>
      <c r="B2" s="3"/>
      <c r="C2"/>
      <c r="K2" s="16"/>
      <c r="L2" s="16"/>
      <c r="M2" s="16"/>
    </row>
    <row r="3" spans="1:13" ht="13.5" customHeight="1" x14ac:dyDescent="0.25">
      <c r="A3" s="4" t="s">
        <v>7</v>
      </c>
      <c r="B3" s="5"/>
      <c r="C3"/>
    </row>
    <row r="4" spans="1:13" ht="13.5" customHeight="1" x14ac:dyDescent="0.25">
      <c r="A4" s="5" t="s">
        <v>5</v>
      </c>
      <c r="B4" s="2">
        <f ca="1">+NOW()</f>
        <v>44837.500996180555</v>
      </c>
      <c r="C4"/>
    </row>
    <row r="5" spans="1:13" ht="13.5" customHeight="1" x14ac:dyDescent="0.25">
      <c r="A5" s="4" t="s">
        <v>8</v>
      </c>
      <c r="B5" s="8">
        <v>2</v>
      </c>
      <c r="C5" s="1"/>
      <c r="I5" s="32"/>
    </row>
    <row r="6" spans="1:13" x14ac:dyDescent="0.25">
      <c r="A6" s="6" t="s">
        <v>3</v>
      </c>
      <c r="B6" s="7" t="s">
        <v>4</v>
      </c>
      <c r="C6" s="6" t="s">
        <v>2</v>
      </c>
      <c r="F6" s="15" t="s">
        <v>10</v>
      </c>
    </row>
    <row r="1046716" spans="2:2" x14ac:dyDescent="0.25">
      <c r="B1046716" s="25"/>
    </row>
  </sheetData>
  <customSheetViews>
    <customSheetView guid="{CCC669E6-9206-451E-B429-F917E5EBF5A5}" showPageBreaks="1" showGridLines="0" showRowCol="0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5">
    <pageSetUpPr autoPageBreaks="0"/>
  </sheetPr>
  <dimension ref="A1:M1046820"/>
  <sheetViews>
    <sheetView showGridLines="0" showRowColHeaders="0" zoomScale="145" zoomScaleNormal="145" workbookViewId="0">
      <selection activeCell="B9" sqref="B9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13" ht="61.15" customHeight="1" x14ac:dyDescent="0.25">
      <c r="A1"/>
      <c r="B1"/>
      <c r="C1"/>
    </row>
    <row r="2" spans="1:13" ht="13.5" customHeight="1" x14ac:dyDescent="0.25">
      <c r="A2" s="5" t="s">
        <v>6</v>
      </c>
      <c r="B2" s="3"/>
      <c r="C2"/>
      <c r="K2" s="16"/>
      <c r="L2" s="16"/>
      <c r="M2" s="16"/>
    </row>
    <row r="3" spans="1:13" ht="13.5" customHeight="1" x14ac:dyDescent="0.25">
      <c r="A3" s="4" t="s">
        <v>7</v>
      </c>
      <c r="B3" s="5"/>
      <c r="C3"/>
    </row>
    <row r="4" spans="1:13" ht="13.5" customHeight="1" x14ac:dyDescent="0.25">
      <c r="A4" s="5" t="s">
        <v>5</v>
      </c>
      <c r="B4" s="2">
        <f ca="1">+NOW()</f>
        <v>44837.500996180555</v>
      </c>
      <c r="C4"/>
    </row>
    <row r="5" spans="1:13" ht="13.5" customHeight="1" x14ac:dyDescent="0.25">
      <c r="A5" s="4" t="s">
        <v>8</v>
      </c>
      <c r="B5" s="8" t="s">
        <v>23</v>
      </c>
      <c r="C5" s="1"/>
      <c r="I5" s="32"/>
    </row>
    <row r="6" spans="1:13" x14ac:dyDescent="0.25">
      <c r="A6" s="6" t="s">
        <v>3</v>
      </c>
      <c r="B6" s="7" t="s">
        <v>4</v>
      </c>
      <c r="C6" s="6" t="s">
        <v>2</v>
      </c>
      <c r="F6" s="15" t="s">
        <v>10</v>
      </c>
    </row>
    <row r="1046820" spans="2:2" x14ac:dyDescent="0.25">
      <c r="B1046820" s="25"/>
    </row>
  </sheetData>
  <customSheetViews>
    <customSheetView guid="{CCC669E6-9206-451E-B429-F917E5EBF5A5}" showPageBreaks="1" showGridLines="0" showRowCol="0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6">
    <pageSetUpPr autoPageBreaks="0"/>
  </sheetPr>
  <dimension ref="A1:M1046979"/>
  <sheetViews>
    <sheetView showGridLines="0" showRowColHeaders="0" zoomScale="145" zoomScaleNormal="145" workbookViewId="0">
      <selection activeCell="B9" sqref="B9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13" ht="61.15" customHeight="1" x14ac:dyDescent="0.25">
      <c r="A1"/>
      <c r="B1"/>
      <c r="C1"/>
    </row>
    <row r="2" spans="1:13" ht="13.5" customHeight="1" x14ac:dyDescent="0.25">
      <c r="A2" s="5" t="s">
        <v>6</v>
      </c>
      <c r="B2" s="3"/>
      <c r="C2"/>
      <c r="K2" s="16"/>
      <c r="L2" s="16"/>
      <c r="M2" s="16"/>
    </row>
    <row r="3" spans="1:13" ht="13.5" customHeight="1" x14ac:dyDescent="0.25">
      <c r="A3" s="4" t="s">
        <v>7</v>
      </c>
      <c r="B3" s="5"/>
      <c r="C3"/>
    </row>
    <row r="4" spans="1:13" ht="13.5" customHeight="1" x14ac:dyDescent="0.25">
      <c r="A4" s="5" t="s">
        <v>5</v>
      </c>
      <c r="B4" s="2">
        <f ca="1">+NOW()</f>
        <v>44837.500996180555</v>
      </c>
      <c r="C4"/>
    </row>
    <row r="5" spans="1:13" ht="13.5" customHeight="1" x14ac:dyDescent="0.25">
      <c r="A5" s="4" t="s">
        <v>8</v>
      </c>
      <c r="B5" s="8">
        <v>3</v>
      </c>
      <c r="C5" s="1"/>
    </row>
    <row r="6" spans="1:13" x14ac:dyDescent="0.25">
      <c r="A6" s="6" t="s">
        <v>3</v>
      </c>
      <c r="B6" s="7" t="s">
        <v>4</v>
      </c>
      <c r="C6" s="6" t="s">
        <v>2</v>
      </c>
      <c r="F6" s="15" t="s">
        <v>10</v>
      </c>
    </row>
    <row r="1046979" spans="2:2" x14ac:dyDescent="0.25">
      <c r="B1046979" s="25"/>
    </row>
  </sheetData>
  <customSheetViews>
    <customSheetView guid="{CCC669E6-9206-451E-B429-F917E5EBF5A5}" showPageBreaks="1" showGridLines="0" showRowCol="0" printArea="1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pageSetUpPr autoPageBreaks="0"/>
  </sheetPr>
  <dimension ref="A1:M1046531"/>
  <sheetViews>
    <sheetView showGridLines="0" showRowColHeaders="0" zoomScale="145" zoomScaleNormal="145" workbookViewId="0">
      <selection activeCell="B14" sqref="B14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13" ht="61.15" customHeight="1" x14ac:dyDescent="0.25">
      <c r="A1"/>
      <c r="B1"/>
      <c r="C1"/>
    </row>
    <row r="2" spans="1:13" ht="13.5" customHeight="1" x14ac:dyDescent="0.25">
      <c r="A2" s="5" t="s">
        <v>6</v>
      </c>
      <c r="B2" s="3"/>
      <c r="C2"/>
      <c r="K2" s="16"/>
      <c r="L2" s="16"/>
      <c r="M2" s="16"/>
    </row>
    <row r="3" spans="1:13" ht="13.5" customHeight="1" x14ac:dyDescent="0.25">
      <c r="A3" s="4" t="s">
        <v>7</v>
      </c>
      <c r="B3" s="5"/>
      <c r="C3"/>
    </row>
    <row r="4" spans="1:13" ht="13.5" customHeight="1" x14ac:dyDescent="0.25">
      <c r="A4" s="5" t="s">
        <v>5</v>
      </c>
      <c r="B4" s="2">
        <f ca="1">+NOW()</f>
        <v>44837.500996180555</v>
      </c>
      <c r="C4"/>
    </row>
    <row r="5" spans="1:13" ht="13.5" customHeight="1" x14ac:dyDescent="0.25">
      <c r="A5" s="4" t="s">
        <v>8</v>
      </c>
      <c r="B5" s="8" t="s">
        <v>24</v>
      </c>
      <c r="C5" s="1"/>
      <c r="I5" s="32"/>
    </row>
    <row r="6" spans="1:13" x14ac:dyDescent="0.25">
      <c r="A6" s="6" t="s">
        <v>3</v>
      </c>
      <c r="B6" s="7" t="s">
        <v>4</v>
      </c>
      <c r="C6" s="6" t="s">
        <v>2</v>
      </c>
      <c r="F6" s="15" t="s">
        <v>10</v>
      </c>
    </row>
    <row r="1046531" spans="2:2" x14ac:dyDescent="0.25">
      <c r="B1046531" s="25"/>
    </row>
  </sheetData>
  <customSheetViews>
    <customSheetView guid="{CCC669E6-9206-451E-B429-F917E5EBF5A5}" showPageBreaks="1" showGridLines="0" showRowCol="0" printArea="1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8">
    <pageSetUpPr autoPageBreaks="0"/>
  </sheetPr>
  <dimension ref="A1:M1047118"/>
  <sheetViews>
    <sheetView showGridLines="0" showRowColHeaders="0" zoomScale="145" zoomScaleNormal="145" workbookViewId="0">
      <selection activeCell="B9" sqref="B9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13" ht="61.15" customHeight="1" x14ac:dyDescent="0.25">
      <c r="A1"/>
      <c r="B1"/>
      <c r="C1"/>
    </row>
    <row r="2" spans="1:13" ht="13.5" customHeight="1" x14ac:dyDescent="0.25">
      <c r="A2" s="5" t="s">
        <v>6</v>
      </c>
      <c r="B2" s="3"/>
      <c r="C2"/>
      <c r="K2" s="16"/>
      <c r="L2" s="16"/>
      <c r="M2" s="16"/>
    </row>
    <row r="3" spans="1:13" ht="13.5" customHeight="1" x14ac:dyDescent="0.25">
      <c r="A3" s="4" t="s">
        <v>7</v>
      </c>
      <c r="B3" s="5"/>
      <c r="C3"/>
    </row>
    <row r="4" spans="1:13" ht="13.5" customHeight="1" x14ac:dyDescent="0.25">
      <c r="A4" s="5" t="s">
        <v>5</v>
      </c>
      <c r="B4" s="2">
        <f ca="1">+NOW()</f>
        <v>44837.500996180555</v>
      </c>
      <c r="C4"/>
    </row>
    <row r="5" spans="1:13" ht="13.5" customHeight="1" x14ac:dyDescent="0.25">
      <c r="A5" s="4" t="s">
        <v>8</v>
      </c>
      <c r="B5" s="8">
        <v>4</v>
      </c>
      <c r="C5" s="1"/>
    </row>
    <row r="6" spans="1:13" x14ac:dyDescent="0.25">
      <c r="A6" s="6" t="s">
        <v>3</v>
      </c>
      <c r="B6" s="7" t="s">
        <v>4</v>
      </c>
      <c r="C6" s="6" t="s">
        <v>2</v>
      </c>
      <c r="F6" s="15" t="s">
        <v>10</v>
      </c>
    </row>
    <row r="1047118" spans="2:2" x14ac:dyDescent="0.25">
      <c r="B1047118" s="25"/>
    </row>
  </sheetData>
  <customSheetViews>
    <customSheetView guid="{CCC669E6-9206-451E-B429-F917E5EBF5A5}" showPageBreaks="1" showGridLines="0" showRowCol="0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118D5-0B7E-49E8-8BEF-45781369D23B}">
  <sheetPr codeName="Sheet13"/>
  <dimension ref="A1"/>
  <sheetViews>
    <sheetView workbookViewId="0"/>
  </sheetViews>
  <sheetFormatPr defaultColWidth="11.42578125"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9">
    <pageSetUpPr autoPageBreaks="0"/>
  </sheetPr>
  <dimension ref="A1:M1047034"/>
  <sheetViews>
    <sheetView showGridLines="0" showRowColHeaders="0" zoomScale="145" zoomScaleNormal="145" workbookViewId="0">
      <selection activeCell="B8" sqref="B8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13" ht="61.15" customHeight="1" x14ac:dyDescent="0.25">
      <c r="A1"/>
      <c r="B1"/>
      <c r="C1"/>
    </row>
    <row r="2" spans="1:13" ht="13.5" customHeight="1" x14ac:dyDescent="0.25">
      <c r="A2" s="5" t="s">
        <v>6</v>
      </c>
      <c r="B2" s="3"/>
      <c r="C2"/>
      <c r="K2" s="16"/>
      <c r="L2" s="16"/>
      <c r="M2" s="16"/>
    </row>
    <row r="3" spans="1:13" ht="13.5" customHeight="1" x14ac:dyDescent="0.25">
      <c r="A3" s="4" t="s">
        <v>7</v>
      </c>
      <c r="B3" s="5"/>
      <c r="C3"/>
    </row>
    <row r="4" spans="1:13" ht="13.5" customHeight="1" x14ac:dyDescent="0.25">
      <c r="A4" s="5" t="s">
        <v>5</v>
      </c>
      <c r="B4" s="2">
        <f ca="1">+NOW()</f>
        <v>44837.500996180555</v>
      </c>
      <c r="C4"/>
    </row>
    <row r="5" spans="1:13" ht="13.5" customHeight="1" x14ac:dyDescent="0.25">
      <c r="A5" s="4" t="s">
        <v>8</v>
      </c>
      <c r="B5" s="8">
        <v>60</v>
      </c>
      <c r="C5" s="1"/>
      <c r="I5"/>
    </row>
    <row r="6" spans="1:13" x14ac:dyDescent="0.25">
      <c r="A6" s="6" t="s">
        <v>3</v>
      </c>
      <c r="B6" s="7" t="s">
        <v>4</v>
      </c>
      <c r="C6" s="6" t="s">
        <v>2</v>
      </c>
      <c r="F6" s="15" t="s">
        <v>10</v>
      </c>
    </row>
    <row r="1047034" spans="2:2" x14ac:dyDescent="0.25">
      <c r="B1047034" s="25"/>
    </row>
  </sheetData>
  <customSheetViews>
    <customSheetView guid="{CCC669E6-9206-451E-B429-F917E5EBF5A5}" showPageBreaks="1" showGridLines="0" showRowCol="0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0">
    <pageSetUpPr autoPageBreaks="0"/>
  </sheetPr>
  <dimension ref="A1:M1047075"/>
  <sheetViews>
    <sheetView showGridLines="0" showRowColHeaders="0" zoomScale="145" zoomScaleNormal="145" workbookViewId="0">
      <selection activeCell="B9" sqref="B9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13" ht="61.15" customHeight="1" x14ac:dyDescent="0.25">
      <c r="A1"/>
      <c r="B1"/>
      <c r="C1"/>
    </row>
    <row r="2" spans="1:13" ht="13.5" customHeight="1" x14ac:dyDescent="0.25">
      <c r="A2" s="5" t="s">
        <v>6</v>
      </c>
      <c r="B2" s="3"/>
      <c r="C2"/>
      <c r="K2" s="16"/>
      <c r="L2" s="16"/>
      <c r="M2" s="16"/>
    </row>
    <row r="3" spans="1:13" ht="13.5" customHeight="1" x14ac:dyDescent="0.25">
      <c r="A3" s="4" t="s">
        <v>7</v>
      </c>
      <c r="B3" s="5"/>
      <c r="C3"/>
    </row>
    <row r="4" spans="1:13" ht="13.5" customHeight="1" x14ac:dyDescent="0.25">
      <c r="A4" s="5" t="s">
        <v>5</v>
      </c>
      <c r="B4" s="2">
        <f ca="1">+NOW()</f>
        <v>44837.500996180555</v>
      </c>
      <c r="C4"/>
    </row>
    <row r="5" spans="1:13" ht="13.5" customHeight="1" x14ac:dyDescent="0.25">
      <c r="A5" s="4" t="s">
        <v>8</v>
      </c>
      <c r="B5" s="8">
        <v>61</v>
      </c>
      <c r="C5" s="1"/>
    </row>
    <row r="6" spans="1:13" x14ac:dyDescent="0.25">
      <c r="A6" s="6" t="s">
        <v>3</v>
      </c>
      <c r="B6" s="7" t="s">
        <v>4</v>
      </c>
      <c r="C6" s="6" t="s">
        <v>2</v>
      </c>
      <c r="F6" s="15" t="s">
        <v>10</v>
      </c>
    </row>
    <row r="1047075" spans="2:2" x14ac:dyDescent="0.25">
      <c r="B1047075" s="25"/>
    </row>
  </sheetData>
  <customSheetViews>
    <customSheetView guid="{CCC669E6-9206-451E-B429-F917E5EBF5A5}" showPageBreaks="1" showGridLines="0" showRowCol="0" printArea="1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1">
    <pageSetUpPr autoPageBreaks="0"/>
  </sheetPr>
  <dimension ref="A1:M1047737"/>
  <sheetViews>
    <sheetView showGridLines="0" showRowColHeaders="0" zoomScale="145" zoomScaleNormal="145" workbookViewId="0">
      <selection activeCell="A7" sqref="A7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13" ht="61.15" customHeight="1" x14ac:dyDescent="0.25">
      <c r="A1"/>
      <c r="B1"/>
      <c r="C1"/>
    </row>
    <row r="2" spans="1:13" ht="13.5" customHeight="1" x14ac:dyDescent="0.25">
      <c r="A2" s="5" t="s">
        <v>6</v>
      </c>
      <c r="B2" s="3"/>
      <c r="C2"/>
      <c r="K2" s="16"/>
      <c r="L2" s="16"/>
      <c r="M2" s="16"/>
    </row>
    <row r="3" spans="1:13" ht="13.5" customHeight="1" x14ac:dyDescent="0.25">
      <c r="A3" s="4" t="s">
        <v>7</v>
      </c>
      <c r="B3" s="5"/>
      <c r="C3"/>
    </row>
    <row r="4" spans="1:13" ht="13.5" customHeight="1" x14ac:dyDescent="0.25">
      <c r="A4" s="5" t="s">
        <v>5</v>
      </c>
      <c r="B4" s="2">
        <f ca="1">+NOW()</f>
        <v>44837.500996180555</v>
      </c>
      <c r="C4"/>
    </row>
    <row r="5" spans="1:13" ht="13.5" customHeight="1" x14ac:dyDescent="0.25">
      <c r="A5" s="4" t="s">
        <v>8</v>
      </c>
      <c r="B5" s="8">
        <v>62</v>
      </c>
      <c r="C5" s="1"/>
    </row>
    <row r="6" spans="1:13" x14ac:dyDescent="0.25">
      <c r="A6" s="6" t="s">
        <v>3</v>
      </c>
      <c r="B6" s="7" t="s">
        <v>4</v>
      </c>
      <c r="C6" s="6" t="s">
        <v>2</v>
      </c>
      <c r="F6" s="15" t="s">
        <v>10</v>
      </c>
    </row>
    <row r="1047737" spans="2:2" x14ac:dyDescent="0.25">
      <c r="B1047737" s="25"/>
    </row>
  </sheetData>
  <customSheetViews>
    <customSheetView guid="{CCC669E6-9206-451E-B429-F917E5EBF5A5}" showPageBreaks="1" showGridLines="0" showRowCol="0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3">
    <pageSetUpPr autoPageBreaks="0"/>
  </sheetPr>
  <dimension ref="A1:M1047783"/>
  <sheetViews>
    <sheetView showGridLines="0" showRowColHeaders="0" zoomScale="145" zoomScaleNormal="145" workbookViewId="0">
      <selection activeCell="G1" sqref="G1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13" ht="61.15" customHeight="1" x14ac:dyDescent="0.25">
      <c r="A1"/>
      <c r="B1"/>
      <c r="C1"/>
    </row>
    <row r="2" spans="1:13" ht="13.5" customHeight="1" x14ac:dyDescent="0.25">
      <c r="A2" s="5" t="s">
        <v>6</v>
      </c>
      <c r="B2" s="3"/>
      <c r="C2"/>
      <c r="K2" s="16"/>
      <c r="L2" s="16"/>
      <c r="M2" s="16"/>
    </row>
    <row r="3" spans="1:13" ht="13.5" customHeight="1" x14ac:dyDescent="0.25">
      <c r="A3" s="4" t="s">
        <v>7</v>
      </c>
      <c r="B3" s="5"/>
      <c r="C3"/>
    </row>
    <row r="4" spans="1:13" ht="13.5" customHeight="1" x14ac:dyDescent="0.25">
      <c r="A4" s="5" t="s">
        <v>5</v>
      </c>
      <c r="B4" s="2">
        <f ca="1">+NOW()</f>
        <v>44837.500996180555</v>
      </c>
      <c r="C4"/>
    </row>
    <row r="5" spans="1:13" ht="13.5" customHeight="1" x14ac:dyDescent="0.25">
      <c r="A5" s="4" t="s">
        <v>8</v>
      </c>
      <c r="B5" s="8">
        <v>63</v>
      </c>
      <c r="C5" s="1"/>
    </row>
    <row r="6" spans="1:13" x14ac:dyDescent="0.25">
      <c r="A6" s="6" t="s">
        <v>3</v>
      </c>
      <c r="B6" s="7" t="s">
        <v>4</v>
      </c>
      <c r="C6" s="6" t="s">
        <v>2</v>
      </c>
      <c r="F6" s="15" t="s">
        <v>10</v>
      </c>
    </row>
    <row r="1047783" spans="2:2" x14ac:dyDescent="0.25">
      <c r="B1047783" s="25"/>
    </row>
  </sheetData>
  <sheetProtection algorithmName="SHA-512" hashValue="+NUzoJv5OwH5WWG1AM/zPGETQgix5/WfC0sEqh8iTFiZX4i03PpVzDyJVztndEjEEtUNfIui7zA1ReQvStLLwQ==" saltValue="CL49PPj63bbSlh+Hjb0Jzg==" spinCount="100000" sheet="1" objects="1" scenarios="1"/>
  <customSheetViews>
    <customSheetView guid="{CCC669E6-9206-451E-B429-F917E5EBF5A5}" showPageBreaks="1" showGridLines="0" showRowCol="0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4">
    <pageSetUpPr autoPageBreaks="0"/>
  </sheetPr>
  <dimension ref="A1:M1039215"/>
  <sheetViews>
    <sheetView showGridLines="0" showRowColHeaders="0" zoomScale="145" zoomScaleNormal="145" workbookViewId="0">
      <selection activeCell="B10" sqref="B10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13" ht="61.15" customHeight="1" x14ac:dyDescent="0.25">
      <c r="A1"/>
      <c r="B1"/>
      <c r="C1"/>
    </row>
    <row r="2" spans="1:13" ht="13.5" customHeight="1" x14ac:dyDescent="0.25">
      <c r="A2" s="5" t="s">
        <v>6</v>
      </c>
      <c r="B2" s="3"/>
      <c r="C2"/>
      <c r="K2" s="16"/>
      <c r="L2" s="16"/>
      <c r="M2" s="16"/>
    </row>
    <row r="3" spans="1:13" ht="13.5" customHeight="1" x14ac:dyDescent="0.25">
      <c r="A3" s="4" t="s">
        <v>7</v>
      </c>
      <c r="B3" s="5"/>
      <c r="C3"/>
    </row>
    <row r="4" spans="1:13" ht="13.5" customHeight="1" x14ac:dyDescent="0.25">
      <c r="A4" s="5" t="s">
        <v>5</v>
      </c>
      <c r="B4" s="2">
        <f ca="1">+NOW()</f>
        <v>44837.500996180555</v>
      </c>
      <c r="C4"/>
    </row>
    <row r="5" spans="1:13" ht="13.5" customHeight="1" x14ac:dyDescent="0.25">
      <c r="A5" s="4" t="s">
        <v>8</v>
      </c>
      <c r="B5" s="8">
        <v>64</v>
      </c>
      <c r="C5" s="1"/>
      <c r="I5"/>
    </row>
    <row r="6" spans="1:13" x14ac:dyDescent="0.25">
      <c r="A6" s="6" t="s">
        <v>3</v>
      </c>
      <c r="B6" s="7" t="s">
        <v>4</v>
      </c>
      <c r="C6" s="6" t="s">
        <v>2</v>
      </c>
      <c r="F6" s="15" t="s">
        <v>10</v>
      </c>
    </row>
    <row r="1039215" spans="2:2" x14ac:dyDescent="0.25">
      <c r="B1039215" s="25"/>
    </row>
  </sheetData>
  <customSheetViews>
    <customSheetView guid="{CCC669E6-9206-451E-B429-F917E5EBF5A5}" showPageBreaks="1" showGridLines="0" showRowCol="0" printArea="1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>
    <pageSetUpPr autoPageBreaks="0"/>
  </sheetPr>
  <dimension ref="A1:M1047868"/>
  <sheetViews>
    <sheetView showGridLines="0" showRowColHeaders="0" zoomScale="145" zoomScaleNormal="145" workbookViewId="0">
      <selection activeCell="B14" sqref="B14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13" ht="61.15" customHeight="1" x14ac:dyDescent="0.25">
      <c r="A1"/>
      <c r="B1"/>
      <c r="C1"/>
    </row>
    <row r="2" spans="1:13" ht="13.5" customHeight="1" x14ac:dyDescent="0.25">
      <c r="A2" s="5" t="s">
        <v>6</v>
      </c>
      <c r="B2" s="3"/>
      <c r="C2"/>
      <c r="K2" s="16"/>
      <c r="L2" s="16"/>
      <c r="M2" s="16"/>
    </row>
    <row r="3" spans="1:13" ht="13.5" customHeight="1" x14ac:dyDescent="0.25">
      <c r="A3" s="4" t="s">
        <v>7</v>
      </c>
      <c r="B3" s="5"/>
      <c r="C3"/>
    </row>
    <row r="4" spans="1:13" ht="13.5" customHeight="1" x14ac:dyDescent="0.25">
      <c r="A4" s="5" t="s">
        <v>5</v>
      </c>
      <c r="B4" s="2">
        <f ca="1">+NOW()</f>
        <v>44837.500996180555</v>
      </c>
      <c r="C4"/>
    </row>
    <row r="5" spans="1:13" ht="13.5" customHeight="1" x14ac:dyDescent="0.25">
      <c r="A5" s="4" t="s">
        <v>8</v>
      </c>
      <c r="B5" s="8">
        <v>65</v>
      </c>
      <c r="C5" s="1"/>
    </row>
    <row r="6" spans="1:13" x14ac:dyDescent="0.25">
      <c r="A6" s="6" t="s">
        <v>3</v>
      </c>
      <c r="B6" s="7" t="s">
        <v>4</v>
      </c>
      <c r="C6" s="6" t="s">
        <v>2</v>
      </c>
      <c r="F6" s="15" t="s">
        <v>10</v>
      </c>
    </row>
    <row r="1047838" spans="2:2" x14ac:dyDescent="0.25">
      <c r="B1047838" s="25"/>
    </row>
    <row r="1047842" spans="1:3" x14ac:dyDescent="0.25">
      <c r="A1047842" s="15"/>
      <c r="C1047842" s="15"/>
    </row>
    <row r="1047864" spans="1:3" x14ac:dyDescent="0.25">
      <c r="B1047864" s="15"/>
    </row>
    <row r="1047868" spans="1:3" x14ac:dyDescent="0.25">
      <c r="A1047868" s="15"/>
      <c r="C1047868" s="15"/>
    </row>
  </sheetData>
  <customSheetViews>
    <customSheetView guid="{CCC669E6-9206-451E-B429-F917E5EBF5A5}" showPageBreaks="1" showGridLines="0" showRowCol="0">
      <selection activeCell="H3" sqref="H3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6">
    <pageSetUpPr autoPageBreaks="0"/>
  </sheetPr>
  <dimension ref="A1:M1048023"/>
  <sheetViews>
    <sheetView showGridLines="0" showRowColHeaders="0" zoomScale="145" zoomScaleNormal="145" workbookViewId="0">
      <selection activeCell="A7" sqref="A7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13" ht="61.15" customHeight="1" x14ac:dyDescent="0.25">
      <c r="A1"/>
      <c r="B1"/>
      <c r="C1"/>
    </row>
    <row r="2" spans="1:13" ht="13.5" customHeight="1" x14ac:dyDescent="0.25">
      <c r="A2" s="5" t="s">
        <v>6</v>
      </c>
      <c r="B2" s="3"/>
      <c r="C2"/>
      <c r="K2" s="16"/>
      <c r="L2" s="16"/>
      <c r="M2" s="16"/>
    </row>
    <row r="3" spans="1:13" ht="13.5" customHeight="1" x14ac:dyDescent="0.25">
      <c r="A3" s="4" t="s">
        <v>7</v>
      </c>
      <c r="B3" s="5"/>
      <c r="C3"/>
    </row>
    <row r="4" spans="1:13" ht="13.5" customHeight="1" x14ac:dyDescent="0.25">
      <c r="A4" s="5" t="s">
        <v>5</v>
      </c>
      <c r="B4" s="2">
        <f ca="1">+NOW()</f>
        <v>44837.500996180555</v>
      </c>
      <c r="C4"/>
    </row>
    <row r="5" spans="1:13" ht="13.5" customHeight="1" x14ac:dyDescent="0.25">
      <c r="A5" s="4" t="s">
        <v>8</v>
      </c>
      <c r="B5" s="8">
        <v>66</v>
      </c>
      <c r="C5" s="1"/>
      <c r="I5" s="32"/>
    </row>
    <row r="6" spans="1:13" x14ac:dyDescent="0.25">
      <c r="A6" s="6" t="s">
        <v>3</v>
      </c>
      <c r="B6" s="7" t="s">
        <v>4</v>
      </c>
      <c r="C6" s="6" t="s">
        <v>2</v>
      </c>
      <c r="F6" s="15" t="s">
        <v>10</v>
      </c>
    </row>
    <row r="1047991" spans="1:3" x14ac:dyDescent="0.25">
      <c r="B1047991" s="25"/>
    </row>
    <row r="1047997" spans="1:3" x14ac:dyDescent="0.25">
      <c r="A1047997" s="15"/>
      <c r="C1047997" s="15"/>
    </row>
    <row r="1048017" spans="1:3" x14ac:dyDescent="0.25">
      <c r="B1048017" s="15"/>
    </row>
    <row r="1048023" spans="1:3" x14ac:dyDescent="0.25">
      <c r="A1048023" s="15"/>
      <c r="C1048023" s="15"/>
    </row>
  </sheetData>
  <sheetProtection algorithmName="SHA-512" hashValue="JaoNoeOr9IIhu3cU14dTT3Y4cpt4I7RenJvBVJc+4z/QpWgcJQ0l5ca7A1/mWFkRMrA9Dpn1Ofrnb900cWtmOw==" saltValue="z2XNWnyhnxsoMypZh5Ommw==" spinCount="100000" sheet="1" objects="1" scenarios="1"/>
  <customSheetViews>
    <customSheetView guid="{CCC669E6-9206-451E-B429-F917E5EBF5A5}" showPageBreaks="1" showGridLines="0" showRowCol="0">
      <selection activeCell="A7" sqref="A7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7">
    <pageSetUpPr autoPageBreaks="0"/>
  </sheetPr>
  <dimension ref="A1:M1048088"/>
  <sheetViews>
    <sheetView showGridLines="0" showRowColHeaders="0" zoomScale="145" zoomScaleNormal="145" workbookViewId="0">
      <selection activeCell="A7" sqref="A7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13" ht="61.15" customHeight="1" x14ac:dyDescent="0.25">
      <c r="A1"/>
      <c r="B1"/>
      <c r="C1"/>
    </row>
    <row r="2" spans="1:13" ht="13.5" customHeight="1" x14ac:dyDescent="0.25">
      <c r="A2" s="5" t="s">
        <v>6</v>
      </c>
      <c r="B2" s="3"/>
      <c r="C2"/>
      <c r="K2" s="16"/>
      <c r="L2" s="16"/>
      <c r="M2" s="16"/>
    </row>
    <row r="3" spans="1:13" ht="13.5" customHeight="1" x14ac:dyDescent="0.25">
      <c r="A3" s="4" t="s">
        <v>7</v>
      </c>
      <c r="B3" s="5"/>
      <c r="C3"/>
    </row>
    <row r="4" spans="1:13" ht="13.5" customHeight="1" x14ac:dyDescent="0.25">
      <c r="A4" s="5" t="s">
        <v>5</v>
      </c>
      <c r="B4" s="2">
        <f ca="1">+NOW()</f>
        <v>44837.500996180555</v>
      </c>
      <c r="C4"/>
    </row>
    <row r="5" spans="1:13" ht="13.5" customHeight="1" x14ac:dyDescent="0.25">
      <c r="A5" s="4" t="s">
        <v>8</v>
      </c>
      <c r="B5" s="8">
        <v>67</v>
      </c>
      <c r="C5" s="1"/>
    </row>
    <row r="6" spans="1:13" x14ac:dyDescent="0.25">
      <c r="A6" s="6" t="s">
        <v>3</v>
      </c>
      <c r="B6" s="7" t="s">
        <v>4</v>
      </c>
      <c r="C6" s="6" t="s">
        <v>2</v>
      </c>
      <c r="F6" s="15" t="s">
        <v>10</v>
      </c>
    </row>
    <row r="1048088" spans="2:2" x14ac:dyDescent="0.25">
      <c r="B1048088" s="25"/>
    </row>
  </sheetData>
  <sheetProtection algorithmName="SHA-512" hashValue="AXcuwr2FEL58jUWrdyjrKsqY+2aZCkPdYO2ljbmn9RY6VII1xLyc8lafmeVgHrNNMfZOnPaNhg2JbxLKGLTFtw==" saltValue="cYnnCVvEroEO75cKqSz0yg==" spinCount="100000" sheet="1" objects="1" scenarios="1"/>
  <customSheetViews>
    <customSheetView guid="{CCC669E6-9206-451E-B429-F917E5EBF5A5}" showPageBreaks="1" showGridLines="0" showRowCol="0" printArea="1">
      <selection activeCell="B7" sqref="B7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8">
    <pageSetUpPr autoPageBreaks="0"/>
  </sheetPr>
  <dimension ref="A1:M1047850"/>
  <sheetViews>
    <sheetView showGridLines="0" showRowColHeaders="0" zoomScale="145" zoomScaleNormal="145" workbookViewId="0">
      <selection activeCell="G1" sqref="G1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13" ht="61.15" customHeight="1" x14ac:dyDescent="0.25">
      <c r="A1"/>
      <c r="B1"/>
      <c r="C1"/>
    </row>
    <row r="2" spans="1:13" ht="13.5" customHeight="1" x14ac:dyDescent="0.25">
      <c r="A2" s="5" t="s">
        <v>6</v>
      </c>
      <c r="B2" s="3"/>
      <c r="C2"/>
      <c r="K2" s="16"/>
      <c r="L2" s="16"/>
      <c r="M2" s="16"/>
    </row>
    <row r="3" spans="1:13" ht="13.5" customHeight="1" x14ac:dyDescent="0.25">
      <c r="A3" s="4" t="s">
        <v>7</v>
      </c>
      <c r="B3" s="5"/>
      <c r="C3"/>
    </row>
    <row r="4" spans="1:13" ht="13.5" customHeight="1" x14ac:dyDescent="0.25">
      <c r="A4" s="5" t="s">
        <v>5</v>
      </c>
      <c r="B4" s="2">
        <f ca="1">+NOW()</f>
        <v>44837.500996180555</v>
      </c>
      <c r="C4"/>
    </row>
    <row r="5" spans="1:13" ht="13.5" customHeight="1" x14ac:dyDescent="0.25">
      <c r="A5" s="4" t="s">
        <v>8</v>
      </c>
      <c r="B5" s="8">
        <v>68</v>
      </c>
      <c r="C5" s="1"/>
    </row>
    <row r="6" spans="1:13" x14ac:dyDescent="0.25">
      <c r="A6" s="6" t="s">
        <v>3</v>
      </c>
      <c r="B6" s="7" t="s">
        <v>4</v>
      </c>
      <c r="C6" s="6" t="s">
        <v>2</v>
      </c>
      <c r="F6" s="15" t="s">
        <v>10</v>
      </c>
    </row>
    <row r="1047850" spans="2:2" x14ac:dyDescent="0.25">
      <c r="B1047850" s="25"/>
    </row>
  </sheetData>
  <sheetProtection algorithmName="SHA-512" hashValue="qF5f50L0kYUu/f0P6I3ChyXB4I9hH1qei1iIrObKLVJzU8QscSKC+3jvhE26Fc8OMYkXhG1J++NpHOns+sM84g==" saltValue="ATLNK3dDpYxGhPOKBExrGg==" spinCount="100000" sheet="1" objects="1" scenarios="1"/>
  <customSheetViews>
    <customSheetView guid="{CCC669E6-9206-451E-B429-F917E5EBF5A5}" showPageBreaks="1" showGridLines="0" showRowCol="0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5">
    <pageSetUpPr autoPageBreaks="0"/>
  </sheetPr>
  <dimension ref="A1:C6"/>
  <sheetViews>
    <sheetView showGridLines="0" showRowColHeaders="0" zoomScale="145" zoomScaleNormal="145" workbookViewId="0">
      <selection activeCell="B10" sqref="B10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3" ht="61.15" customHeight="1" x14ac:dyDescent="0.25">
      <c r="A1"/>
      <c r="B1"/>
      <c r="C1"/>
    </row>
    <row r="2" spans="1:3" ht="13.5" customHeight="1" x14ac:dyDescent="0.25">
      <c r="A2" s="5" t="s">
        <v>848</v>
      </c>
      <c r="B2" s="3"/>
      <c r="C2"/>
    </row>
    <row r="3" spans="1:3" ht="13.5" customHeight="1" x14ac:dyDescent="0.25">
      <c r="A3" s="4" t="s">
        <v>849</v>
      </c>
      <c r="B3" s="5"/>
      <c r="C3"/>
    </row>
    <row r="4" spans="1:3" ht="13.5" customHeight="1" x14ac:dyDescent="0.25">
      <c r="A4" s="5" t="s">
        <v>5</v>
      </c>
      <c r="B4" s="2">
        <f ca="1">+NOW()</f>
        <v>44837.500996180555</v>
      </c>
      <c r="C4"/>
    </row>
    <row r="5" spans="1:3" ht="13.5" customHeight="1" x14ac:dyDescent="0.25">
      <c r="A5" s="4" t="s">
        <v>8</v>
      </c>
      <c r="B5" s="8">
        <v>31</v>
      </c>
      <c r="C5" s="1"/>
    </row>
    <row r="6" spans="1:3" x14ac:dyDescent="0.25">
      <c r="A6" s="6" t="s">
        <v>3</v>
      </c>
      <c r="B6" s="7" t="s">
        <v>4</v>
      </c>
      <c r="C6" s="6" t="s">
        <v>2</v>
      </c>
    </row>
  </sheetData>
  <pageMargins left="0.15" right="0.05" top="0.05" bottom="0.05" header="0.3" footer="0.3"/>
  <pageSetup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16">
    <pageSetUpPr autoPageBreaks="0"/>
  </sheetPr>
  <dimension ref="A1:M1045874"/>
  <sheetViews>
    <sheetView showGridLines="0" showRowColHeaders="0" zoomScale="145" zoomScaleNormal="145" workbookViewId="0">
      <selection activeCell="A5" sqref="A5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13" ht="61.15" customHeight="1" x14ac:dyDescent="0.25">
      <c r="A1"/>
      <c r="B1"/>
      <c r="C1"/>
    </row>
    <row r="2" spans="1:13" ht="13.5" customHeight="1" x14ac:dyDescent="0.25">
      <c r="A2" s="5" t="s">
        <v>848</v>
      </c>
      <c r="B2" s="3"/>
      <c r="C2"/>
      <c r="K2" s="16"/>
      <c r="L2" s="16"/>
      <c r="M2" s="16"/>
    </row>
    <row r="3" spans="1:13" ht="13.5" customHeight="1" x14ac:dyDescent="0.25">
      <c r="A3" s="4" t="s">
        <v>849</v>
      </c>
      <c r="B3" s="5"/>
      <c r="C3"/>
    </row>
    <row r="4" spans="1:13" ht="13.5" customHeight="1" x14ac:dyDescent="0.25">
      <c r="A4" s="5" t="s">
        <v>5</v>
      </c>
      <c r="B4" s="2">
        <f ca="1">+NOW()</f>
        <v>44837.500996180555</v>
      </c>
      <c r="C4"/>
    </row>
    <row r="5" spans="1:13" ht="13.5" customHeight="1" x14ac:dyDescent="0.25">
      <c r="A5" s="4" t="s">
        <v>8</v>
      </c>
      <c r="B5" s="8">
        <v>32</v>
      </c>
      <c r="C5" s="1"/>
    </row>
    <row r="6" spans="1:13" x14ac:dyDescent="0.25">
      <c r="A6" s="6" t="s">
        <v>3</v>
      </c>
      <c r="B6" s="7" t="s">
        <v>4</v>
      </c>
      <c r="C6" s="6" t="s">
        <v>2</v>
      </c>
      <c r="F6" s="15" t="s">
        <v>10</v>
      </c>
    </row>
    <row r="1045874" spans="2:2" x14ac:dyDescent="0.25">
      <c r="B1045874" s="25"/>
    </row>
  </sheetData>
  <sheetProtection algorithmName="SHA-512" hashValue="qPPLycbxYdNHRPhJd0JbnunC6Sq3jtATzZoDrfLHX8R/D22Mx5/ULH4julFOL4Kqq/H1TAiKzFoBE4Y//jU7Nw==" saltValue="2y22rHwPRZTIcDH9nkmDHQ==" spinCount="100000" sheet="1" objects="1" scenarios="1"/>
  <pageMargins left="0.15" right="0.05" top="0.05" bottom="0.0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1">
    <pageSetUpPr autoPageBreaks="0"/>
  </sheetPr>
  <dimension ref="A1:C6"/>
  <sheetViews>
    <sheetView showGridLines="0" showRowColHeaders="0" zoomScale="145" zoomScaleNormal="145" workbookViewId="0">
      <selection activeCell="G1" sqref="G1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3" ht="61.15" customHeight="1" x14ac:dyDescent="0.25">
      <c r="A1"/>
      <c r="B1"/>
      <c r="C1"/>
    </row>
    <row r="2" spans="1:3" ht="13.5" customHeight="1" x14ac:dyDescent="0.25">
      <c r="A2" s="5" t="s">
        <v>848</v>
      </c>
      <c r="B2" s="3"/>
      <c r="C2"/>
    </row>
    <row r="3" spans="1:3" ht="13.5" customHeight="1" x14ac:dyDescent="0.25">
      <c r="A3" s="4" t="s">
        <v>849</v>
      </c>
      <c r="B3" s="5"/>
      <c r="C3"/>
    </row>
    <row r="4" spans="1:3" ht="13.5" customHeight="1" x14ac:dyDescent="0.25">
      <c r="A4" s="5" t="s">
        <v>5</v>
      </c>
      <c r="B4" s="2">
        <f ca="1">+NOW()</f>
        <v>44837.500996180555</v>
      </c>
      <c r="C4"/>
    </row>
    <row r="5" spans="1:3" ht="13.5" customHeight="1" x14ac:dyDescent="0.25">
      <c r="A5" s="4" t="s">
        <v>8</v>
      </c>
      <c r="B5" s="8">
        <v>52</v>
      </c>
      <c r="C5" s="1"/>
    </row>
    <row r="6" spans="1:3" x14ac:dyDescent="0.25">
      <c r="A6" s="6" t="s">
        <v>3</v>
      </c>
      <c r="B6" s="7" t="s">
        <v>4</v>
      </c>
      <c r="C6" s="6" t="s">
        <v>2</v>
      </c>
    </row>
  </sheetData>
  <sheetProtection algorithmName="SHA-512" hashValue="h3MRDIesyOwbmSZATEugMKjuBPAH6OgcK+u2fGJudW1jezzwg3o7iFAD+jkipT4CpBd2DBT5t14hqatqYjUAXg==" saltValue="jPumWC+mXOAyscmxhb49eg==" spinCount="100000" sheet="1" objects="1" scenarios="1"/>
  <customSheetViews>
    <customSheetView guid="{CCC669E6-9206-451E-B429-F917E5EBF5A5}" showPageBreaks="1" showGridLines="0" showRowCol="0" state="hidden">
      <selection activeCell="B9" sqref="B9"/>
      <pageMargins left="0.5" right="0.5" top="0.5" bottom="0.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6">
    <pageSetUpPr autoPageBreaks="0"/>
  </sheetPr>
  <dimension ref="A1:I7"/>
  <sheetViews>
    <sheetView showGridLines="0" showRowColHeaders="0" zoomScale="145" zoomScaleNormal="145" workbookViewId="0">
      <selection activeCell="B12" sqref="B12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9" ht="61.15" customHeight="1" x14ac:dyDescent="0.25">
      <c r="A1"/>
      <c r="B1"/>
      <c r="C1"/>
    </row>
    <row r="2" spans="1:9" ht="15.4" customHeight="1" x14ac:dyDescent="0.25">
      <c r="A2"/>
      <c r="B2"/>
      <c r="C2"/>
    </row>
    <row r="3" spans="1:9" ht="13.5" customHeight="1" x14ac:dyDescent="0.25">
      <c r="A3"/>
      <c r="B3"/>
      <c r="C3" s="46"/>
    </row>
    <row r="4" spans="1:9" ht="13.5" customHeight="1" x14ac:dyDescent="0.25">
      <c r="A4" s="24" t="s">
        <v>6</v>
      </c>
      <c r="B4" s="9"/>
      <c r="C4" s="26" t="s">
        <v>7</v>
      </c>
    </row>
    <row r="5" spans="1:9" ht="13.5" customHeight="1" x14ac:dyDescent="0.25">
      <c r="A5" s="27" t="s">
        <v>8</v>
      </c>
      <c r="B5" s="27" t="s">
        <v>9</v>
      </c>
      <c r="C5"/>
      <c r="I5"/>
    </row>
    <row r="6" spans="1:9" ht="13.5" customHeight="1" x14ac:dyDescent="0.25">
      <c r="A6" s="24" t="s">
        <v>5</v>
      </c>
      <c r="B6" s="28">
        <f ca="1">+NOW()</f>
        <v>44837.500996180555</v>
      </c>
      <c r="C6" s="1"/>
    </row>
    <row r="7" spans="1:9" x14ac:dyDescent="0.25">
      <c r="A7" s="6" t="s">
        <v>3</v>
      </c>
      <c r="B7" s="7" t="s">
        <v>4</v>
      </c>
      <c r="C7" s="6" t="s">
        <v>2</v>
      </c>
    </row>
  </sheetData>
  <sheetProtection algorithmName="SHA-512" hashValue="AJLq0a6bU6gGqIXc0OUyW6+zTtBQFwtNuJGn9739kFWTJt1WbWJKs8fbeKm0KBA1jSpZfCI7HcCcvB3x91uJ4w==" saltValue="TyC08g2HPhpzmf771P4KLA==" spinCount="100000" sheet="1" objects="1" scenarios="1"/>
  <customSheetViews>
    <customSheetView guid="{CCC669E6-9206-451E-B429-F917E5EBF5A5}" showPageBreaks="1" showGridLines="0" showRowCol="0" printArea="1">
      <selection activeCell="B27" sqref="B27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9">
    <pageSetUpPr autoPageBreaks="0"/>
  </sheetPr>
  <dimension ref="A1:C6"/>
  <sheetViews>
    <sheetView showGridLines="0" showRowColHeaders="0" zoomScale="145" zoomScaleNormal="145" workbookViewId="0">
      <selection activeCell="G1" sqref="G1"/>
    </sheetView>
  </sheetViews>
  <sheetFormatPr defaultColWidth="8.7109375" defaultRowHeight="15" x14ac:dyDescent="0.25"/>
  <cols>
    <col min="1" max="1" width="7.85546875" style="24" customWidth="1"/>
    <col min="2" max="2" width="13.7109375" style="24" customWidth="1"/>
    <col min="3" max="3" width="9" style="24" customWidth="1"/>
    <col min="4" max="16384" width="8.7109375" style="15"/>
  </cols>
  <sheetData>
    <row r="1" spans="1:3" ht="61.15" customHeight="1" x14ac:dyDescent="0.25">
      <c r="A1"/>
      <c r="B1"/>
      <c r="C1"/>
    </row>
    <row r="2" spans="1:3" ht="13.5" customHeight="1" x14ac:dyDescent="0.25">
      <c r="A2" s="5" t="s">
        <v>6</v>
      </c>
      <c r="B2" s="3"/>
      <c r="C2"/>
    </row>
    <row r="3" spans="1:3" ht="13.5" customHeight="1" x14ac:dyDescent="0.25">
      <c r="A3" s="4" t="s">
        <v>7</v>
      </c>
      <c r="B3" s="5"/>
      <c r="C3"/>
    </row>
    <row r="4" spans="1:3" ht="13.5" customHeight="1" x14ac:dyDescent="0.25">
      <c r="A4" s="5" t="s">
        <v>5</v>
      </c>
      <c r="B4" s="2">
        <f ca="1">+NOW()</f>
        <v>44837.500996180555</v>
      </c>
      <c r="C4"/>
    </row>
    <row r="5" spans="1:3" ht="13.5" customHeight="1" x14ac:dyDescent="0.25">
      <c r="A5" s="4" t="s">
        <v>8</v>
      </c>
      <c r="B5" s="8" t="s">
        <v>26</v>
      </c>
      <c r="C5" s="1"/>
    </row>
    <row r="6" spans="1:3" x14ac:dyDescent="0.25">
      <c r="A6" s="6" t="s">
        <v>3</v>
      </c>
      <c r="B6" s="7" t="s">
        <v>4</v>
      </c>
      <c r="C6" s="6" t="s">
        <v>2</v>
      </c>
    </row>
  </sheetData>
  <sheetProtection algorithmName="SHA-512" hashValue="2AOFT8Blf/uK7GO4+nyhRl3/FCCvCPYc6x0n9kQLEsIBC4rmH2S1CON7cQSeK2OaCMhFbrUMDr/JUR4itlRwKg==" saltValue="EWX/vdYuSiSqkt+j/NUfCg==" spinCount="100000" sheet="1" objects="1" scenarios="1"/>
  <pageMargins left="0.15" right="0.05" top="0.05" bottom="0.0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80">
    <pageSetUpPr autoPageBreaks="0"/>
  </sheetPr>
  <dimension ref="A1:N113"/>
  <sheetViews>
    <sheetView zoomScale="145" zoomScaleNormal="145" workbookViewId="0"/>
  </sheetViews>
  <sheetFormatPr defaultColWidth="8.85546875" defaultRowHeight="15" x14ac:dyDescent="0.25"/>
  <cols>
    <col min="1" max="1" width="32.42578125" bestFit="1" customWidth="1"/>
    <col min="2" max="2" width="8.85546875" customWidth="1"/>
    <col min="3" max="7" width="8.85546875" style="17" customWidth="1"/>
    <col min="8" max="16384" width="8.85546875" style="17"/>
  </cols>
  <sheetData>
    <row r="1" spans="1:14" x14ac:dyDescent="0.25">
      <c r="A1" t="s">
        <v>798</v>
      </c>
      <c r="H1" s="17">
        <v>0</v>
      </c>
      <c r="J1" s="23"/>
      <c r="K1" s="23"/>
      <c r="L1" s="23"/>
      <c r="M1" s="23"/>
      <c r="N1" s="23"/>
    </row>
    <row r="2" spans="1:14" x14ac:dyDescent="0.25">
      <c r="A2" t="s">
        <v>830</v>
      </c>
      <c r="B2" s="45">
        <v>550</v>
      </c>
      <c r="H2" s="17">
        <v>1</v>
      </c>
      <c r="J2" s="23"/>
      <c r="K2" s="23"/>
      <c r="L2" s="23"/>
      <c r="M2" s="23"/>
      <c r="N2" s="23"/>
    </row>
    <row r="3" spans="1:14" x14ac:dyDescent="0.25">
      <c r="A3" t="s">
        <v>0</v>
      </c>
      <c r="B3">
        <v>550</v>
      </c>
      <c r="H3" s="17">
        <v>1</v>
      </c>
      <c r="J3" s="23"/>
      <c r="K3" s="23"/>
      <c r="L3" s="23"/>
      <c r="M3" s="23"/>
      <c r="N3" s="23"/>
    </row>
    <row r="4" spans="1:14" x14ac:dyDescent="0.25">
      <c r="A4" t="s">
        <v>799</v>
      </c>
      <c r="B4">
        <v>500</v>
      </c>
      <c r="H4" s="17">
        <v>1</v>
      </c>
      <c r="J4" s="23"/>
      <c r="K4" s="23"/>
      <c r="L4" s="23"/>
      <c r="M4" s="23" t="s">
        <v>885</v>
      </c>
      <c r="N4" s="43">
        <v>700</v>
      </c>
    </row>
    <row r="5" spans="1:14" x14ac:dyDescent="0.25">
      <c r="A5" t="s">
        <v>834</v>
      </c>
      <c r="B5">
        <v>600</v>
      </c>
      <c r="H5" s="17">
        <v>1</v>
      </c>
      <c r="J5" s="23"/>
      <c r="K5" s="23"/>
      <c r="L5" s="23"/>
      <c r="M5" s="23" t="s">
        <v>886</v>
      </c>
      <c r="N5" s="23">
        <v>900</v>
      </c>
    </row>
    <row r="6" spans="1:14" x14ac:dyDescent="0.25">
      <c r="A6" t="s">
        <v>800</v>
      </c>
      <c r="B6">
        <v>550</v>
      </c>
      <c r="H6" s="17">
        <v>1</v>
      </c>
      <c r="J6" s="23"/>
      <c r="K6" s="23"/>
      <c r="L6" s="23"/>
      <c r="M6" s="23" t="s">
        <v>887</v>
      </c>
      <c r="N6" s="23">
        <v>500</v>
      </c>
    </row>
    <row r="7" spans="1:14" x14ac:dyDescent="0.25">
      <c r="A7" t="s">
        <v>801</v>
      </c>
      <c r="B7">
        <v>550</v>
      </c>
      <c r="H7" s="17">
        <v>1</v>
      </c>
      <c r="J7" s="23"/>
      <c r="K7" s="23"/>
      <c r="L7" s="23"/>
      <c r="M7" s="23" t="s">
        <v>888</v>
      </c>
      <c r="N7" s="23">
        <v>230</v>
      </c>
    </row>
    <row r="8" spans="1:14" x14ac:dyDescent="0.25">
      <c r="A8" t="s">
        <v>802</v>
      </c>
      <c r="B8">
        <v>750</v>
      </c>
      <c r="H8" s="17">
        <v>1</v>
      </c>
      <c r="J8" s="23"/>
      <c r="K8" s="23"/>
      <c r="L8" s="23"/>
      <c r="M8" s="23"/>
      <c r="N8" s="23"/>
    </row>
    <row r="9" spans="1:14" x14ac:dyDescent="0.25">
      <c r="A9" t="s">
        <v>803</v>
      </c>
      <c r="B9">
        <v>550</v>
      </c>
      <c r="J9" s="23"/>
      <c r="K9" s="23"/>
      <c r="L9" s="23"/>
      <c r="M9" s="23"/>
      <c r="N9" s="23"/>
    </row>
    <row r="10" spans="1:14" x14ac:dyDescent="0.25">
      <c r="A10" t="s">
        <v>804</v>
      </c>
      <c r="B10">
        <v>550</v>
      </c>
      <c r="H10" s="17">
        <v>0</v>
      </c>
      <c r="J10" s="23"/>
      <c r="K10" s="23"/>
      <c r="L10" s="23"/>
      <c r="M10" s="23"/>
      <c r="N10" s="23"/>
    </row>
    <row r="11" spans="1:14" x14ac:dyDescent="0.25">
      <c r="A11" t="s">
        <v>805</v>
      </c>
      <c r="B11">
        <v>550</v>
      </c>
      <c r="H11" s="17">
        <v>1</v>
      </c>
      <c r="J11" s="23"/>
      <c r="K11" s="23"/>
      <c r="L11" s="23"/>
      <c r="M11" s="23"/>
      <c r="N11" s="23"/>
    </row>
    <row r="12" spans="1:14" x14ac:dyDescent="0.25">
      <c r="A12" t="s">
        <v>806</v>
      </c>
      <c r="B12" s="45">
        <v>320</v>
      </c>
      <c r="H12" s="17">
        <v>1</v>
      </c>
      <c r="J12" s="23"/>
      <c r="K12" s="23"/>
      <c r="L12" s="23"/>
      <c r="M12" s="23"/>
      <c r="N12" s="23"/>
    </row>
    <row r="13" spans="1:14" x14ac:dyDescent="0.25">
      <c r="A13" t="s">
        <v>807</v>
      </c>
      <c r="B13" s="45">
        <v>320</v>
      </c>
      <c r="H13" s="17">
        <v>1</v>
      </c>
      <c r="J13" s="23"/>
      <c r="K13" s="23"/>
      <c r="L13" s="23"/>
      <c r="M13" s="23"/>
      <c r="N13" s="23"/>
    </row>
    <row r="14" spans="1:14" x14ac:dyDescent="0.25">
      <c r="A14" t="s">
        <v>808</v>
      </c>
      <c r="B14" s="45">
        <v>320</v>
      </c>
      <c r="H14" s="17">
        <v>1</v>
      </c>
    </row>
    <row r="15" spans="1:14" x14ac:dyDescent="0.25">
      <c r="A15" t="s">
        <v>809</v>
      </c>
      <c r="B15" s="45">
        <v>320</v>
      </c>
      <c r="H15" s="17">
        <v>1</v>
      </c>
    </row>
    <row r="16" spans="1:14" x14ac:dyDescent="0.25">
      <c r="A16" t="s">
        <v>810</v>
      </c>
      <c r="B16" s="45">
        <v>320</v>
      </c>
      <c r="H16" s="17">
        <v>1</v>
      </c>
    </row>
    <row r="17" spans="1:8" x14ac:dyDescent="0.25">
      <c r="A17" t="s">
        <v>879</v>
      </c>
      <c r="B17" s="45">
        <v>250</v>
      </c>
      <c r="H17" s="17">
        <v>1</v>
      </c>
    </row>
    <row r="18" spans="1:8" x14ac:dyDescent="0.25">
      <c r="A18" t="s">
        <v>811</v>
      </c>
      <c r="B18" s="45">
        <v>300</v>
      </c>
      <c r="H18" s="17">
        <v>1</v>
      </c>
    </row>
    <row r="19" spans="1:8" x14ac:dyDescent="0.25">
      <c r="A19" t="s">
        <v>812</v>
      </c>
      <c r="B19" s="45">
        <v>250</v>
      </c>
      <c r="H19" s="17">
        <v>1</v>
      </c>
    </row>
    <row r="20" spans="1:8" x14ac:dyDescent="0.25">
      <c r="A20" t="s">
        <v>813</v>
      </c>
      <c r="B20" s="45">
        <v>350</v>
      </c>
      <c r="H20" s="17">
        <v>1</v>
      </c>
    </row>
    <row r="21" spans="1:8" x14ac:dyDescent="0.25">
      <c r="A21" t="s">
        <v>835</v>
      </c>
      <c r="B21" s="45">
        <v>500</v>
      </c>
      <c r="H21" s="17">
        <v>1</v>
      </c>
    </row>
    <row r="22" spans="1:8" x14ac:dyDescent="0.25">
      <c r="A22" t="s">
        <v>814</v>
      </c>
      <c r="H22" s="17">
        <v>1</v>
      </c>
    </row>
    <row r="23" spans="1:8" x14ac:dyDescent="0.25">
      <c r="A23" t="s">
        <v>816</v>
      </c>
      <c r="B23">
        <v>550</v>
      </c>
      <c r="H23" s="17">
        <v>1</v>
      </c>
    </row>
    <row r="24" spans="1:8" x14ac:dyDescent="0.25">
      <c r="A24" t="s">
        <v>815</v>
      </c>
      <c r="B24">
        <v>650</v>
      </c>
      <c r="H24" s="17">
        <v>1</v>
      </c>
    </row>
    <row r="25" spans="1:8" x14ac:dyDescent="0.25">
      <c r="A25" t="s">
        <v>817</v>
      </c>
      <c r="B25">
        <v>650</v>
      </c>
      <c r="H25" s="17">
        <v>1</v>
      </c>
    </row>
    <row r="26" spans="1:8" x14ac:dyDescent="0.25">
      <c r="A26" t="s">
        <v>818</v>
      </c>
      <c r="B26">
        <v>700</v>
      </c>
      <c r="H26" s="17">
        <v>0</v>
      </c>
    </row>
    <row r="27" spans="1:8" x14ac:dyDescent="0.25">
      <c r="A27" t="s">
        <v>831</v>
      </c>
      <c r="B27">
        <v>800</v>
      </c>
      <c r="H27" s="17">
        <v>1</v>
      </c>
    </row>
    <row r="28" spans="1:8" x14ac:dyDescent="0.25">
      <c r="A28" t="s">
        <v>819</v>
      </c>
      <c r="H28" s="17">
        <v>1</v>
      </c>
    </row>
    <row r="29" spans="1:8" x14ac:dyDescent="0.25">
      <c r="A29" s="34" t="s">
        <v>832</v>
      </c>
      <c r="B29">
        <v>1200</v>
      </c>
      <c r="H29" s="17">
        <v>1</v>
      </c>
    </row>
    <row r="30" spans="1:8" x14ac:dyDescent="0.25">
      <c r="A30" s="34" t="s">
        <v>837</v>
      </c>
      <c r="B30">
        <v>900</v>
      </c>
      <c r="H30" s="17">
        <v>1</v>
      </c>
    </row>
    <row r="31" spans="1:8" x14ac:dyDescent="0.25">
      <c r="A31" s="34" t="s">
        <v>836</v>
      </c>
      <c r="B31">
        <v>1300</v>
      </c>
      <c r="H31" s="17">
        <v>1</v>
      </c>
    </row>
    <row r="32" spans="1:8" x14ac:dyDescent="0.25">
      <c r="A32" t="s">
        <v>820</v>
      </c>
      <c r="H32" s="17">
        <v>1</v>
      </c>
    </row>
    <row r="33" spans="1:8" x14ac:dyDescent="0.25">
      <c r="A33" t="s">
        <v>821</v>
      </c>
      <c r="B33">
        <v>700</v>
      </c>
      <c r="H33" s="17">
        <v>1</v>
      </c>
    </row>
    <row r="34" spans="1:8" x14ac:dyDescent="0.25">
      <c r="A34" t="s">
        <v>852</v>
      </c>
      <c r="B34" s="47">
        <v>650</v>
      </c>
      <c r="H34" s="17">
        <v>1</v>
      </c>
    </row>
    <row r="35" spans="1:8" x14ac:dyDescent="0.25">
      <c r="A35" t="s">
        <v>822</v>
      </c>
      <c r="B35">
        <v>900</v>
      </c>
      <c r="H35" s="17">
        <v>1</v>
      </c>
    </row>
    <row r="36" spans="1:8" x14ac:dyDescent="0.25">
      <c r="A36" t="s">
        <v>823</v>
      </c>
      <c r="B36">
        <v>900</v>
      </c>
      <c r="H36" s="17">
        <v>1</v>
      </c>
    </row>
    <row r="37" spans="1:8" x14ac:dyDescent="0.25">
      <c r="A37" t="s">
        <v>824</v>
      </c>
      <c r="B37">
        <v>650</v>
      </c>
      <c r="H37" s="17">
        <v>1</v>
      </c>
    </row>
    <row r="38" spans="1:8" x14ac:dyDescent="0.25">
      <c r="A38" t="s">
        <v>825</v>
      </c>
      <c r="B38">
        <v>990</v>
      </c>
      <c r="H38" s="17">
        <v>1</v>
      </c>
    </row>
    <row r="39" spans="1:8" x14ac:dyDescent="0.25">
      <c r="A39" t="s">
        <v>826</v>
      </c>
      <c r="B39">
        <v>800</v>
      </c>
      <c r="H39" s="17">
        <v>1</v>
      </c>
    </row>
    <row r="40" spans="1:8" x14ac:dyDescent="0.25">
      <c r="A40" t="s">
        <v>827</v>
      </c>
      <c r="B40">
        <v>750</v>
      </c>
      <c r="H40" s="17">
        <v>1</v>
      </c>
    </row>
    <row r="41" spans="1:8" x14ac:dyDescent="0.25">
      <c r="A41" t="s">
        <v>828</v>
      </c>
      <c r="B41">
        <v>3500</v>
      </c>
      <c r="H41" s="17">
        <v>1</v>
      </c>
    </row>
    <row r="42" spans="1:8" x14ac:dyDescent="0.25">
      <c r="A42" t="s">
        <v>829</v>
      </c>
      <c r="B42">
        <v>800</v>
      </c>
      <c r="H42" s="17">
        <v>1</v>
      </c>
    </row>
    <row r="43" spans="1:8" x14ac:dyDescent="0.25">
      <c r="A43" t="s">
        <v>838</v>
      </c>
      <c r="B43">
        <v>300</v>
      </c>
    </row>
    <row r="44" spans="1:8" x14ac:dyDescent="0.25">
      <c r="A44" t="s">
        <v>839</v>
      </c>
      <c r="B44">
        <v>300</v>
      </c>
    </row>
    <row r="45" spans="1:8" x14ac:dyDescent="0.25">
      <c r="A45" t="s">
        <v>840</v>
      </c>
      <c r="B45">
        <v>390</v>
      </c>
    </row>
    <row r="46" spans="1:8" x14ac:dyDescent="0.25">
      <c r="A46" t="s">
        <v>841</v>
      </c>
      <c r="B46">
        <v>350</v>
      </c>
    </row>
    <row r="47" spans="1:8" x14ac:dyDescent="0.25">
      <c r="A47" t="s">
        <v>845</v>
      </c>
      <c r="B47">
        <v>450</v>
      </c>
    </row>
    <row r="48" spans="1:8" x14ac:dyDescent="0.25">
      <c r="A48" t="s">
        <v>846</v>
      </c>
      <c r="B48">
        <v>700</v>
      </c>
    </row>
    <row r="49" spans="1:8" x14ac:dyDescent="0.25">
      <c r="A49" t="s">
        <v>842</v>
      </c>
      <c r="B49">
        <v>250</v>
      </c>
    </row>
    <row r="50" spans="1:8" x14ac:dyDescent="0.25">
      <c r="A50" t="s">
        <v>843</v>
      </c>
      <c r="B50">
        <v>450</v>
      </c>
    </row>
    <row r="51" spans="1:8" x14ac:dyDescent="0.25">
      <c r="A51" t="s">
        <v>847</v>
      </c>
      <c r="B51">
        <v>1</v>
      </c>
    </row>
    <row r="52" spans="1:8" x14ac:dyDescent="0.25">
      <c r="A52" t="s">
        <v>844</v>
      </c>
      <c r="B52">
        <v>700</v>
      </c>
    </row>
    <row r="53" spans="1:8" x14ac:dyDescent="0.25">
      <c r="A53" t="s">
        <v>850</v>
      </c>
      <c r="B53">
        <v>100</v>
      </c>
    </row>
    <row r="54" spans="1:8" x14ac:dyDescent="0.25">
      <c r="A54" t="s">
        <v>851</v>
      </c>
      <c r="B54">
        <v>450</v>
      </c>
    </row>
    <row r="55" spans="1:8" x14ac:dyDescent="0.25">
      <c r="A55" t="s">
        <v>1</v>
      </c>
      <c r="B55">
        <v>500</v>
      </c>
    </row>
    <row r="56" spans="1:8" x14ac:dyDescent="0.25">
      <c r="A56" s="45" t="s">
        <v>885</v>
      </c>
      <c r="B56">
        <v>900</v>
      </c>
      <c r="H56" s="17">
        <v>0</v>
      </c>
    </row>
    <row r="57" spans="1:8" x14ac:dyDescent="0.25">
      <c r="A57" s="45" t="s">
        <v>886</v>
      </c>
      <c r="B57">
        <v>1100</v>
      </c>
      <c r="H57" s="17">
        <v>1</v>
      </c>
    </row>
    <row r="58" spans="1:8" x14ac:dyDescent="0.25">
      <c r="A58" s="45" t="s">
        <v>887</v>
      </c>
      <c r="B58">
        <v>850</v>
      </c>
      <c r="H58" s="17">
        <v>1</v>
      </c>
    </row>
    <row r="59" spans="1:8" x14ac:dyDescent="0.25">
      <c r="A59" s="45" t="s">
        <v>888</v>
      </c>
      <c r="B59">
        <v>400</v>
      </c>
      <c r="H59" s="17">
        <v>1</v>
      </c>
    </row>
    <row r="60" spans="1:8" x14ac:dyDescent="0.25">
      <c r="A60" s="45" t="s">
        <v>855</v>
      </c>
      <c r="B60">
        <v>550</v>
      </c>
      <c r="H60" s="17">
        <v>0</v>
      </c>
    </row>
    <row r="61" spans="1:8" x14ac:dyDescent="0.25">
      <c r="A61" s="45" t="s">
        <v>856</v>
      </c>
      <c r="B61">
        <v>650</v>
      </c>
      <c r="H61" s="17">
        <v>1</v>
      </c>
    </row>
    <row r="62" spans="1:8" x14ac:dyDescent="0.25">
      <c r="A62" s="45" t="s">
        <v>857</v>
      </c>
      <c r="B62">
        <v>850</v>
      </c>
      <c r="H62" s="17">
        <v>1</v>
      </c>
    </row>
    <row r="63" spans="1:8" x14ac:dyDescent="0.25">
      <c r="A63" s="45" t="s">
        <v>858</v>
      </c>
      <c r="B63">
        <v>400</v>
      </c>
      <c r="H63" s="17">
        <v>1</v>
      </c>
    </row>
    <row r="64" spans="1:8" x14ac:dyDescent="0.25">
      <c r="A64" s="45" t="s">
        <v>859</v>
      </c>
      <c r="B64">
        <v>500</v>
      </c>
      <c r="H64" s="17">
        <v>1</v>
      </c>
    </row>
    <row r="65" spans="1:8" x14ac:dyDescent="0.25">
      <c r="A65" s="45" t="s">
        <v>860</v>
      </c>
      <c r="B65">
        <v>550</v>
      </c>
      <c r="H65" s="17">
        <v>1</v>
      </c>
    </row>
    <row r="66" spans="1:8" x14ac:dyDescent="0.25">
      <c r="A66" s="45" t="s">
        <v>861</v>
      </c>
      <c r="B66">
        <v>200</v>
      </c>
      <c r="H66" s="17">
        <v>1</v>
      </c>
    </row>
    <row r="67" spans="1:8" x14ac:dyDescent="0.25">
      <c r="A67" s="45" t="s">
        <v>890</v>
      </c>
      <c r="B67">
        <v>1100</v>
      </c>
      <c r="H67" s="17">
        <v>1</v>
      </c>
    </row>
    <row r="68" spans="1:8" x14ac:dyDescent="0.25">
      <c r="A68" s="45" t="s">
        <v>862</v>
      </c>
      <c r="B68">
        <v>700</v>
      </c>
      <c r="H68" s="17">
        <v>1</v>
      </c>
    </row>
    <row r="69" spans="1:8" x14ac:dyDescent="0.25">
      <c r="A69" s="45" t="s">
        <v>863</v>
      </c>
      <c r="B69">
        <v>750</v>
      </c>
      <c r="H69" s="17">
        <v>0</v>
      </c>
    </row>
    <row r="70" spans="1:8" x14ac:dyDescent="0.25">
      <c r="A70" s="45" t="s">
        <v>864</v>
      </c>
      <c r="B70">
        <v>800</v>
      </c>
      <c r="H70" s="17">
        <v>1</v>
      </c>
    </row>
    <row r="71" spans="1:8" x14ac:dyDescent="0.25">
      <c r="A71" s="45" t="s">
        <v>865</v>
      </c>
      <c r="B71">
        <v>150</v>
      </c>
      <c r="H71" s="17">
        <v>0</v>
      </c>
    </row>
    <row r="72" spans="1:8" x14ac:dyDescent="0.25">
      <c r="A72" s="45" t="s">
        <v>866</v>
      </c>
      <c r="B72">
        <v>150</v>
      </c>
      <c r="H72" s="17">
        <v>0</v>
      </c>
    </row>
    <row r="73" spans="1:8" x14ac:dyDescent="0.25">
      <c r="A73" s="45" t="s">
        <v>867</v>
      </c>
      <c r="B73">
        <v>150</v>
      </c>
      <c r="H73" s="17">
        <v>0</v>
      </c>
    </row>
    <row r="74" spans="1:8" x14ac:dyDescent="0.25">
      <c r="A74" s="45" t="s">
        <v>868</v>
      </c>
      <c r="B74">
        <v>300</v>
      </c>
      <c r="H74" s="17">
        <v>0</v>
      </c>
    </row>
    <row r="75" spans="1:8" x14ac:dyDescent="0.25">
      <c r="A75" s="45" t="s">
        <v>869</v>
      </c>
      <c r="B75">
        <v>300</v>
      </c>
      <c r="H75" s="17">
        <v>0</v>
      </c>
    </row>
    <row r="76" spans="1:8" x14ac:dyDescent="0.25">
      <c r="A76" s="45" t="s">
        <v>870</v>
      </c>
      <c r="B76">
        <v>390</v>
      </c>
      <c r="H76" s="17">
        <v>0</v>
      </c>
    </row>
    <row r="77" spans="1:8" x14ac:dyDescent="0.25">
      <c r="A77" s="45" t="s">
        <v>871</v>
      </c>
      <c r="B77">
        <v>450</v>
      </c>
      <c r="H77" s="17">
        <v>0</v>
      </c>
    </row>
    <row r="78" spans="1:8" x14ac:dyDescent="0.25">
      <c r="A78" s="45" t="s">
        <v>841</v>
      </c>
      <c r="B78">
        <v>350</v>
      </c>
      <c r="H78" s="17">
        <v>0</v>
      </c>
    </row>
    <row r="79" spans="1:8" x14ac:dyDescent="0.25">
      <c r="A79" s="45" t="s">
        <v>872</v>
      </c>
      <c r="B79">
        <v>450</v>
      </c>
      <c r="H79" s="17">
        <v>0</v>
      </c>
    </row>
    <row r="80" spans="1:8" x14ac:dyDescent="0.25">
      <c r="A80" s="45" t="s">
        <v>873</v>
      </c>
      <c r="B80">
        <v>450</v>
      </c>
      <c r="H80" s="17">
        <v>0</v>
      </c>
    </row>
    <row r="81" spans="1:8" x14ac:dyDescent="0.25">
      <c r="A81" s="45" t="s">
        <v>874</v>
      </c>
      <c r="B81">
        <v>700</v>
      </c>
      <c r="H81" s="17">
        <v>0</v>
      </c>
    </row>
    <row r="82" spans="1:8" x14ac:dyDescent="0.25">
      <c r="A82" s="45" t="s">
        <v>875</v>
      </c>
      <c r="B82">
        <v>250</v>
      </c>
      <c r="H82" s="17">
        <v>0</v>
      </c>
    </row>
    <row r="83" spans="1:8" x14ac:dyDescent="0.25">
      <c r="A83" s="45" t="s">
        <v>833</v>
      </c>
      <c r="B83">
        <v>1300</v>
      </c>
      <c r="H83" s="17">
        <v>0</v>
      </c>
    </row>
    <row r="84" spans="1:8" x14ac:dyDescent="0.25">
      <c r="A84" s="45" t="s">
        <v>889</v>
      </c>
      <c r="B84">
        <v>1300</v>
      </c>
      <c r="H84" s="17">
        <v>0</v>
      </c>
    </row>
    <row r="85" spans="1:8" x14ac:dyDescent="0.25">
      <c r="A85" s="45" t="s">
        <v>853</v>
      </c>
      <c r="B85">
        <v>1100</v>
      </c>
      <c r="H85" s="17">
        <v>0</v>
      </c>
    </row>
    <row r="86" spans="1:8" x14ac:dyDescent="0.25">
      <c r="A86" s="45" t="s">
        <v>854</v>
      </c>
      <c r="B86">
        <v>1100</v>
      </c>
      <c r="H86" s="17">
        <v>0</v>
      </c>
    </row>
    <row r="87" spans="1:8" x14ac:dyDescent="0.25">
      <c r="A87" s="45" t="s">
        <v>884</v>
      </c>
      <c r="B87">
        <v>900</v>
      </c>
      <c r="H87" s="17">
        <v>0</v>
      </c>
    </row>
    <row r="88" spans="1:8" x14ac:dyDescent="0.25">
      <c r="A88" s="45" t="s">
        <v>891</v>
      </c>
      <c r="B88">
        <v>650</v>
      </c>
      <c r="H88" s="17">
        <v>0</v>
      </c>
    </row>
    <row r="89" spans="1:8" x14ac:dyDescent="0.25">
      <c r="A89" t="s">
        <v>892</v>
      </c>
      <c r="B89">
        <v>650</v>
      </c>
      <c r="H89" s="17">
        <v>0</v>
      </c>
    </row>
    <row r="90" spans="1:8" x14ac:dyDescent="0.25">
      <c r="A90" t="s">
        <v>893</v>
      </c>
      <c r="B90">
        <v>750</v>
      </c>
      <c r="H90" s="17">
        <v>0</v>
      </c>
    </row>
    <row r="91" spans="1:8" x14ac:dyDescent="0.25">
      <c r="A91" t="s">
        <v>879</v>
      </c>
      <c r="B91">
        <v>250</v>
      </c>
      <c r="H91" s="17">
        <v>0</v>
      </c>
    </row>
    <row r="92" spans="1:8" x14ac:dyDescent="0.25">
      <c r="A92" t="s">
        <v>894</v>
      </c>
      <c r="B92">
        <v>300</v>
      </c>
      <c r="H92" s="17">
        <v>0</v>
      </c>
    </row>
    <row r="93" spans="1:8" x14ac:dyDescent="0.25">
      <c r="A93" t="s">
        <v>876</v>
      </c>
      <c r="B93">
        <v>300</v>
      </c>
      <c r="H93" s="17">
        <v>0</v>
      </c>
    </row>
    <row r="94" spans="1:8" x14ac:dyDescent="0.25">
      <c r="A94" t="s">
        <v>895</v>
      </c>
      <c r="B94">
        <v>400</v>
      </c>
      <c r="H94" s="17">
        <v>0</v>
      </c>
    </row>
    <row r="95" spans="1:8" x14ac:dyDescent="0.25">
      <c r="A95" t="s">
        <v>903</v>
      </c>
      <c r="B95">
        <v>800</v>
      </c>
      <c r="H95" s="17">
        <v>0</v>
      </c>
    </row>
    <row r="96" spans="1:8" x14ac:dyDescent="0.25">
      <c r="A96" t="s">
        <v>896</v>
      </c>
      <c r="B96">
        <v>550</v>
      </c>
      <c r="H96" s="17">
        <v>0</v>
      </c>
    </row>
    <row r="97" spans="1:8" x14ac:dyDescent="0.25">
      <c r="A97" t="s">
        <v>897</v>
      </c>
      <c r="B97">
        <v>750</v>
      </c>
      <c r="H97" s="17">
        <v>0</v>
      </c>
    </row>
    <row r="98" spans="1:8" x14ac:dyDescent="0.25">
      <c r="A98" t="s">
        <v>898</v>
      </c>
      <c r="B98">
        <v>750</v>
      </c>
      <c r="H98" s="17">
        <v>0</v>
      </c>
    </row>
    <row r="99" spans="1:8" x14ac:dyDescent="0.25">
      <c r="A99" t="s">
        <v>877</v>
      </c>
      <c r="B99">
        <v>350</v>
      </c>
      <c r="H99" s="17">
        <v>0</v>
      </c>
    </row>
    <row r="100" spans="1:8" x14ac:dyDescent="0.25">
      <c r="A100" t="s">
        <v>899</v>
      </c>
      <c r="B100">
        <v>450</v>
      </c>
      <c r="H100" s="17">
        <v>0</v>
      </c>
    </row>
    <row r="101" spans="1:8" x14ac:dyDescent="0.25">
      <c r="A101" t="s">
        <v>883</v>
      </c>
      <c r="B101">
        <v>550</v>
      </c>
      <c r="H101" s="17">
        <v>0</v>
      </c>
    </row>
    <row r="102" spans="1:8" x14ac:dyDescent="0.25">
      <c r="A102" t="s">
        <v>900</v>
      </c>
      <c r="B102">
        <v>350</v>
      </c>
      <c r="H102" s="17">
        <v>0</v>
      </c>
    </row>
    <row r="103" spans="1:8" x14ac:dyDescent="0.25">
      <c r="A103" t="s">
        <v>904</v>
      </c>
      <c r="B103">
        <v>350</v>
      </c>
      <c r="H103" s="17">
        <v>0</v>
      </c>
    </row>
    <row r="104" spans="1:8" x14ac:dyDescent="0.25">
      <c r="A104" t="s">
        <v>882</v>
      </c>
      <c r="B104">
        <v>600</v>
      </c>
      <c r="H104" s="17">
        <v>0</v>
      </c>
    </row>
    <row r="105" spans="1:8" x14ac:dyDescent="0.25">
      <c r="A105" t="s">
        <v>901</v>
      </c>
      <c r="B105">
        <v>450</v>
      </c>
      <c r="H105" s="17">
        <v>0</v>
      </c>
    </row>
    <row r="106" spans="1:8" x14ac:dyDescent="0.25">
      <c r="A106" t="s">
        <v>881</v>
      </c>
      <c r="B106">
        <v>450</v>
      </c>
      <c r="H106" s="17">
        <v>0</v>
      </c>
    </row>
    <row r="107" spans="1:8" x14ac:dyDescent="0.25">
      <c r="A107" t="s">
        <v>902</v>
      </c>
      <c r="B107">
        <v>650</v>
      </c>
      <c r="H107" s="17">
        <v>0</v>
      </c>
    </row>
    <row r="108" spans="1:8" x14ac:dyDescent="0.25">
      <c r="A108" t="s">
        <v>877</v>
      </c>
      <c r="B108">
        <v>350</v>
      </c>
      <c r="H108" s="17">
        <v>0</v>
      </c>
    </row>
    <row r="109" spans="1:8" x14ac:dyDescent="0.25">
      <c r="A109" t="s">
        <v>880</v>
      </c>
      <c r="B109" s="39">
        <v>123</v>
      </c>
      <c r="H109" s="17">
        <v>1</v>
      </c>
    </row>
    <row r="110" spans="1:8" x14ac:dyDescent="0.25">
      <c r="A110" t="s">
        <v>878</v>
      </c>
      <c r="B110" s="39">
        <v>1</v>
      </c>
      <c r="H110" s="17">
        <v>1</v>
      </c>
    </row>
    <row r="111" spans="1:8" x14ac:dyDescent="0.25">
      <c r="A111" t="s">
        <v>905</v>
      </c>
      <c r="B111" s="40">
        <v>5</v>
      </c>
      <c r="H111" s="17">
        <v>1</v>
      </c>
    </row>
    <row r="112" spans="1:8" x14ac:dyDescent="0.25">
      <c r="A112" t="s">
        <v>906</v>
      </c>
      <c r="B112" s="41">
        <v>4</v>
      </c>
      <c r="H112" s="17">
        <v>1</v>
      </c>
    </row>
    <row r="113" spans="1:2" x14ac:dyDescent="0.25">
      <c r="A113" t="s">
        <v>907</v>
      </c>
      <c r="B113" s="41">
        <v>9</v>
      </c>
    </row>
  </sheetData>
  <sheetProtection algorithmName="SHA-512" hashValue="+2nWppAxV7ZYgAwD3OGF7TkuL4NO6Q37ppKXVAnyRjGua7MkLp3UDEam/5U6vhaZ0ez0u+/W9pDwR6W2sWoZrQ==" saltValue="MQsRbNadoSGLu5JOqaP8yQ==" spinCount="100000" sheet="1" objects="1" scenarios="1"/>
  <customSheetViews>
    <customSheetView guid="{CCC669E6-9206-451E-B429-F917E5EBF5A5}" showPageBreaks="1" showGridLines="0" showRowCol="0" topLeftCell="A54">
      <selection activeCell="H72" sqref="H72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">
    <pageSetUpPr autoPageBreaks="0"/>
  </sheetPr>
  <dimension ref="A1:E2"/>
  <sheetViews>
    <sheetView showGridLines="0" showRowColHeaders="0" topLeftCell="A1736" zoomScaleNormal="100" workbookViewId="0">
      <selection activeCell="C8" sqref="C8"/>
    </sheetView>
  </sheetViews>
  <sheetFormatPr defaultColWidth="8.7109375" defaultRowHeight="15" x14ac:dyDescent="0.25"/>
  <cols>
    <col min="1" max="1" width="30.7109375" customWidth="1"/>
    <col min="2" max="2" width="55.85546875" customWidth="1"/>
    <col min="3" max="3" width="15.5703125" bestFit="1" customWidth="1"/>
    <col min="4" max="4" width="10.140625" bestFit="1" customWidth="1"/>
    <col min="5" max="5" width="15.7109375" style="33" customWidth="1"/>
    <col min="6" max="16384" width="8.7109375" style="17"/>
  </cols>
  <sheetData>
    <row r="1" spans="1:5" ht="15.75" thickBot="1" x14ac:dyDescent="0.3">
      <c r="A1" s="10">
        <f ca="1">+NOW()</f>
        <v>44837.500996180555</v>
      </c>
      <c r="B1" s="29" t="s">
        <v>25</v>
      </c>
      <c r="C1" s="42">
        <v>1981883</v>
      </c>
      <c r="D1" s="29" t="s">
        <v>27</v>
      </c>
      <c r="E1"/>
    </row>
    <row r="2" spans="1:5" ht="15.75" thickBot="1" x14ac:dyDescent="0.3">
      <c r="A2" s="12" t="s">
        <v>13</v>
      </c>
      <c r="B2" s="13" t="s">
        <v>11</v>
      </c>
      <c r="C2" s="14" t="s">
        <v>12</v>
      </c>
      <c r="D2" s="29" t="s">
        <v>28</v>
      </c>
      <c r="E2"/>
    </row>
  </sheetData>
  <sheetProtection algorithmName="SHA-512" hashValue="THQm8lELHqnHG/T67psskvSf8hghFZlVzZAPKicXpFZLG6VznBvHxxUdIWv/TAovwUu6tzqem53RjJ0QRmWMDA==" saltValue="SuZAlDAvN8rVxvefLETozQ==" spinCount="100000" sheet="1" objects="1" scenarios="1"/>
  <customSheetViews>
    <customSheetView guid="{CCC669E6-9206-451E-B429-F917E5EBF5A5}" showPageBreaks="1" showGridLines="0" showRowCol="0">
      <selection activeCell="B6" sqref="B6"/>
      <pageMargins left="0.7" right="0.7" top="0.75" bottom="0.75" header="0.3" footer="0.3"/>
      <pageSetup paperSize="154" orientation="portrait" horizontalDpi="203" verticalDpi="203" r:id="rId1"/>
    </customSheetView>
  </customSheetViews>
  <pageMargins left="0.7" right="0.7" top="0.75" bottom="0.75" header="0.3" footer="0.3"/>
  <pageSetup paperSize="154" orientation="portrait" horizontalDpi="203" verticalDpi="203"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7">
    <pageSetUpPr autoPageBreaks="0"/>
  </sheetPr>
  <dimension ref="A1:AL184"/>
  <sheetViews>
    <sheetView showGridLines="0" showRowColHeaders="0" zoomScaleNormal="100" workbookViewId="0"/>
  </sheetViews>
  <sheetFormatPr defaultColWidth="8.7109375" defaultRowHeight="15" x14ac:dyDescent="0.25"/>
  <cols>
    <col min="1" max="3" width="15.28515625" customWidth="1"/>
    <col min="4" max="16384" width="8.7109375" style="17"/>
  </cols>
  <sheetData>
    <row r="1" spans="1:38" x14ac:dyDescent="0.25">
      <c r="A1" s="11" t="s">
        <v>14</v>
      </c>
      <c r="B1" s="11">
        <f ca="1">+TODAY()</f>
        <v>44837</v>
      </c>
      <c r="AL1" s="17" t="s">
        <v>174</v>
      </c>
    </row>
    <row r="2" spans="1:38" x14ac:dyDescent="0.25">
      <c r="AL2" s="17" t="s">
        <v>175</v>
      </c>
    </row>
    <row r="3" spans="1:38" x14ac:dyDescent="0.25">
      <c r="AL3" s="17" t="s">
        <v>176</v>
      </c>
    </row>
    <row r="4" spans="1:38" ht="15.75" thickBot="1" x14ac:dyDescent="0.3">
      <c r="AL4" s="17" t="s">
        <v>177</v>
      </c>
    </row>
    <row r="5" spans="1:38" ht="15.75" thickBot="1" x14ac:dyDescent="0.3">
      <c r="A5" s="12" t="s">
        <v>15</v>
      </c>
      <c r="B5" s="14" t="s">
        <v>16</v>
      </c>
      <c r="AL5" s="17" t="s">
        <v>178</v>
      </c>
    </row>
    <row r="6" spans="1:38" x14ac:dyDescent="0.25">
      <c r="AL6" s="17" t="s">
        <v>179</v>
      </c>
    </row>
    <row r="7" spans="1:38" x14ac:dyDescent="0.25">
      <c r="AL7" s="17" t="s">
        <v>180</v>
      </c>
    </row>
    <row r="8" spans="1:38" x14ac:dyDescent="0.25">
      <c r="AL8" s="17" t="s">
        <v>181</v>
      </c>
    </row>
    <row r="9" spans="1:38" x14ac:dyDescent="0.25">
      <c r="AL9" s="17" t="s">
        <v>182</v>
      </c>
    </row>
    <row r="10" spans="1:38" x14ac:dyDescent="0.25">
      <c r="AL10" s="17" t="s">
        <v>183</v>
      </c>
    </row>
    <row r="11" spans="1:38" x14ac:dyDescent="0.25">
      <c r="AL11" s="17" t="s">
        <v>184</v>
      </c>
    </row>
    <row r="12" spans="1:38" x14ac:dyDescent="0.25">
      <c r="AL12" s="17" t="s">
        <v>185</v>
      </c>
    </row>
    <row r="13" spans="1:38" x14ac:dyDescent="0.25">
      <c r="AL13" s="17" t="s">
        <v>186</v>
      </c>
    </row>
    <row r="14" spans="1:38" x14ac:dyDescent="0.25">
      <c r="AL14" s="17" t="s">
        <v>187</v>
      </c>
    </row>
    <row r="15" spans="1:38" x14ac:dyDescent="0.25">
      <c r="AL15" s="17" t="s">
        <v>188</v>
      </c>
    </row>
    <row r="16" spans="1:38" x14ac:dyDescent="0.25">
      <c r="AL16" s="17" t="s">
        <v>189</v>
      </c>
    </row>
    <row r="17" spans="38:38" x14ac:dyDescent="0.25">
      <c r="AL17" s="17" t="s">
        <v>190</v>
      </c>
    </row>
    <row r="18" spans="38:38" x14ac:dyDescent="0.25">
      <c r="AL18" s="17" t="s">
        <v>191</v>
      </c>
    </row>
    <row r="19" spans="38:38" x14ac:dyDescent="0.25">
      <c r="AL19" s="17" t="s">
        <v>192</v>
      </c>
    </row>
    <row r="20" spans="38:38" x14ac:dyDescent="0.25">
      <c r="AL20" s="17" t="s">
        <v>193</v>
      </c>
    </row>
    <row r="21" spans="38:38" x14ac:dyDescent="0.25">
      <c r="AL21" s="17" t="s">
        <v>194</v>
      </c>
    </row>
    <row r="22" spans="38:38" x14ac:dyDescent="0.25">
      <c r="AL22" s="17" t="s">
        <v>195</v>
      </c>
    </row>
    <row r="23" spans="38:38" x14ac:dyDescent="0.25">
      <c r="AL23" s="17" t="s">
        <v>196</v>
      </c>
    </row>
    <row r="24" spans="38:38" x14ac:dyDescent="0.25">
      <c r="AL24" s="17" t="s">
        <v>197</v>
      </c>
    </row>
    <row r="25" spans="38:38" x14ac:dyDescent="0.25">
      <c r="AL25" s="17" t="s">
        <v>198</v>
      </c>
    </row>
    <row r="26" spans="38:38" x14ac:dyDescent="0.25">
      <c r="AL26" s="17" t="s">
        <v>199</v>
      </c>
    </row>
    <row r="27" spans="38:38" x14ac:dyDescent="0.25">
      <c r="AL27" s="17" t="s">
        <v>200</v>
      </c>
    </row>
    <row r="28" spans="38:38" x14ac:dyDescent="0.25">
      <c r="AL28" s="17" t="s">
        <v>201</v>
      </c>
    </row>
    <row r="29" spans="38:38" x14ac:dyDescent="0.25">
      <c r="AL29" s="17" t="s">
        <v>202</v>
      </c>
    </row>
    <row r="30" spans="38:38" x14ac:dyDescent="0.25">
      <c r="AL30" s="17" t="s">
        <v>203</v>
      </c>
    </row>
    <row r="31" spans="38:38" x14ac:dyDescent="0.25">
      <c r="AL31" s="17" t="s">
        <v>207</v>
      </c>
    </row>
    <row r="32" spans="38:38" x14ac:dyDescent="0.25">
      <c r="AL32" s="17" t="s">
        <v>215</v>
      </c>
    </row>
    <row r="33" spans="38:38" x14ac:dyDescent="0.25">
      <c r="AL33" s="17" t="s">
        <v>216</v>
      </c>
    </row>
    <row r="34" spans="38:38" x14ac:dyDescent="0.25">
      <c r="AL34" s="17" t="s">
        <v>217</v>
      </c>
    </row>
    <row r="35" spans="38:38" x14ac:dyDescent="0.25">
      <c r="AL35" s="17" t="s">
        <v>224</v>
      </c>
    </row>
    <row r="36" spans="38:38" x14ac:dyDescent="0.25">
      <c r="AL36" s="17" t="s">
        <v>246</v>
      </c>
    </row>
    <row r="37" spans="38:38" x14ac:dyDescent="0.25">
      <c r="AL37" s="17" t="s">
        <v>260</v>
      </c>
    </row>
    <row r="38" spans="38:38" x14ac:dyDescent="0.25">
      <c r="AL38" s="17" t="s">
        <v>276</v>
      </c>
    </row>
    <row r="39" spans="38:38" x14ac:dyDescent="0.25">
      <c r="AL39" s="17" t="s">
        <v>277</v>
      </c>
    </row>
    <row r="40" spans="38:38" x14ac:dyDescent="0.25">
      <c r="AL40" s="17" t="s">
        <v>299</v>
      </c>
    </row>
    <row r="41" spans="38:38" x14ac:dyDescent="0.25">
      <c r="AL41" s="17" t="s">
        <v>300</v>
      </c>
    </row>
    <row r="42" spans="38:38" x14ac:dyDescent="0.25">
      <c r="AL42" s="17" t="s">
        <v>301</v>
      </c>
    </row>
    <row r="43" spans="38:38" x14ac:dyDescent="0.25">
      <c r="AL43" s="17" t="s">
        <v>323</v>
      </c>
    </row>
    <row r="44" spans="38:38" x14ac:dyDescent="0.25">
      <c r="AL44" s="17" t="s">
        <v>324</v>
      </c>
    </row>
    <row r="45" spans="38:38" x14ac:dyDescent="0.25">
      <c r="AL45" s="17" t="s">
        <v>326</v>
      </c>
    </row>
    <row r="46" spans="38:38" x14ac:dyDescent="0.25">
      <c r="AL46" s="17" t="s">
        <v>346</v>
      </c>
    </row>
    <row r="47" spans="38:38" x14ac:dyDescent="0.25">
      <c r="AL47" s="17" t="s">
        <v>347</v>
      </c>
    </row>
    <row r="48" spans="38:38" x14ac:dyDescent="0.25">
      <c r="AL48" s="17" t="s">
        <v>363</v>
      </c>
    </row>
    <row r="49" spans="38:38" x14ac:dyDescent="0.25">
      <c r="AL49" s="17" t="s">
        <v>374</v>
      </c>
    </row>
    <row r="50" spans="38:38" x14ac:dyDescent="0.25">
      <c r="AL50" s="17" t="s">
        <v>382</v>
      </c>
    </row>
    <row r="51" spans="38:38" x14ac:dyDescent="0.25">
      <c r="AL51" s="17" t="s">
        <v>383</v>
      </c>
    </row>
    <row r="52" spans="38:38" x14ac:dyDescent="0.25">
      <c r="AL52" s="17" t="s">
        <v>388</v>
      </c>
    </row>
    <row r="53" spans="38:38" x14ac:dyDescent="0.25">
      <c r="AL53" s="17" t="s">
        <v>389</v>
      </c>
    </row>
    <row r="54" spans="38:38" x14ac:dyDescent="0.25">
      <c r="AL54" s="17" t="s">
        <v>393</v>
      </c>
    </row>
    <row r="55" spans="38:38" x14ac:dyDescent="0.25">
      <c r="AL55" s="17" t="s">
        <v>406</v>
      </c>
    </row>
    <row r="56" spans="38:38" x14ac:dyDescent="0.25">
      <c r="AL56" s="17" t="s">
        <v>410</v>
      </c>
    </row>
    <row r="57" spans="38:38" x14ac:dyDescent="0.25">
      <c r="AL57" s="17" t="s">
        <v>426</v>
      </c>
    </row>
    <row r="58" spans="38:38" x14ac:dyDescent="0.25">
      <c r="AL58" s="17" t="s">
        <v>433</v>
      </c>
    </row>
    <row r="59" spans="38:38" x14ac:dyDescent="0.25">
      <c r="AL59" s="17" t="s">
        <v>454</v>
      </c>
    </row>
    <row r="60" spans="38:38" x14ac:dyDescent="0.25">
      <c r="AL60" s="17" t="s">
        <v>471</v>
      </c>
    </row>
    <row r="61" spans="38:38" x14ac:dyDescent="0.25">
      <c r="AL61" s="17" t="s">
        <v>473</v>
      </c>
    </row>
    <row r="62" spans="38:38" x14ac:dyDescent="0.25">
      <c r="AL62" s="17" t="s">
        <v>501</v>
      </c>
    </row>
    <row r="63" spans="38:38" x14ac:dyDescent="0.25">
      <c r="AL63" s="17" t="s">
        <v>502</v>
      </c>
    </row>
    <row r="64" spans="38:38" x14ac:dyDescent="0.25">
      <c r="AL64" s="17" t="s">
        <v>506</v>
      </c>
    </row>
    <row r="65" spans="38:38" x14ac:dyDescent="0.25">
      <c r="AL65" s="17" t="s">
        <v>514</v>
      </c>
    </row>
    <row r="66" spans="38:38" x14ac:dyDescent="0.25">
      <c r="AL66" s="17" t="s">
        <v>519</v>
      </c>
    </row>
    <row r="67" spans="38:38" x14ac:dyDescent="0.25">
      <c r="AL67" s="17" t="s">
        <v>521</v>
      </c>
    </row>
    <row r="68" spans="38:38" x14ac:dyDescent="0.25">
      <c r="AL68" s="17" t="s">
        <v>522</v>
      </c>
    </row>
    <row r="69" spans="38:38" x14ac:dyDescent="0.25">
      <c r="AL69" s="17" t="s">
        <v>544</v>
      </c>
    </row>
    <row r="70" spans="38:38" x14ac:dyDescent="0.25">
      <c r="AL70" s="17" t="s">
        <v>551</v>
      </c>
    </row>
    <row r="71" spans="38:38" x14ac:dyDescent="0.25">
      <c r="AL71" s="17" t="s">
        <v>555</v>
      </c>
    </row>
    <row r="72" spans="38:38" x14ac:dyDescent="0.25">
      <c r="AL72" s="17" t="s">
        <v>558</v>
      </c>
    </row>
    <row r="73" spans="38:38" x14ac:dyDescent="0.25">
      <c r="AL73" s="17" t="s">
        <v>568</v>
      </c>
    </row>
    <row r="74" spans="38:38" x14ac:dyDescent="0.25">
      <c r="AL74" s="17" t="s">
        <v>571</v>
      </c>
    </row>
    <row r="75" spans="38:38" x14ac:dyDescent="0.25">
      <c r="AL75" s="17" t="s">
        <v>576</v>
      </c>
    </row>
    <row r="76" spans="38:38" x14ac:dyDescent="0.25">
      <c r="AL76" s="17" t="s">
        <v>577</v>
      </c>
    </row>
    <row r="77" spans="38:38" x14ac:dyDescent="0.25">
      <c r="AL77" s="17" t="s">
        <v>578</v>
      </c>
    </row>
    <row r="78" spans="38:38" x14ac:dyDescent="0.25">
      <c r="AL78" s="17" t="s">
        <v>582</v>
      </c>
    </row>
    <row r="79" spans="38:38" x14ac:dyDescent="0.25">
      <c r="AL79" s="17" t="s">
        <v>584</v>
      </c>
    </row>
    <row r="80" spans="38:38" x14ac:dyDescent="0.25">
      <c r="AL80" s="17" t="s">
        <v>587</v>
      </c>
    </row>
    <row r="81" spans="38:38" x14ac:dyDescent="0.25">
      <c r="AL81" s="17" t="s">
        <v>588</v>
      </c>
    </row>
    <row r="82" spans="38:38" x14ac:dyDescent="0.25">
      <c r="AL82" s="17" t="s">
        <v>596</v>
      </c>
    </row>
    <row r="83" spans="38:38" x14ac:dyDescent="0.25">
      <c r="AL83" s="17" t="s">
        <v>600</v>
      </c>
    </row>
    <row r="84" spans="38:38" x14ac:dyDescent="0.25">
      <c r="AL84" s="17" t="s">
        <v>601</v>
      </c>
    </row>
    <row r="85" spans="38:38" x14ac:dyDescent="0.25">
      <c r="AL85" s="17" t="s">
        <v>602</v>
      </c>
    </row>
    <row r="86" spans="38:38" x14ac:dyDescent="0.25">
      <c r="AL86" s="17" t="s">
        <v>603</v>
      </c>
    </row>
    <row r="87" spans="38:38" x14ac:dyDescent="0.25">
      <c r="AL87" s="17" t="s">
        <v>605</v>
      </c>
    </row>
    <row r="88" spans="38:38" x14ac:dyDescent="0.25">
      <c r="AL88" s="17" t="s">
        <v>611</v>
      </c>
    </row>
    <row r="89" spans="38:38" x14ac:dyDescent="0.25">
      <c r="AL89" s="17" t="s">
        <v>618</v>
      </c>
    </row>
    <row r="90" spans="38:38" x14ac:dyDescent="0.25">
      <c r="AL90" s="17" t="s">
        <v>628</v>
      </c>
    </row>
    <row r="91" spans="38:38" x14ac:dyDescent="0.25">
      <c r="AL91" s="17" t="s">
        <v>631</v>
      </c>
    </row>
    <row r="92" spans="38:38" x14ac:dyDescent="0.25">
      <c r="AL92" s="17" t="s">
        <v>632</v>
      </c>
    </row>
    <row r="93" spans="38:38" x14ac:dyDescent="0.25">
      <c r="AL93" s="17" t="s">
        <v>633</v>
      </c>
    </row>
    <row r="94" spans="38:38" x14ac:dyDescent="0.25">
      <c r="AL94" s="17" t="s">
        <v>639</v>
      </c>
    </row>
    <row r="95" spans="38:38" x14ac:dyDescent="0.25">
      <c r="AL95" s="17" t="s">
        <v>640</v>
      </c>
    </row>
    <row r="96" spans="38:38" x14ac:dyDescent="0.25">
      <c r="AL96" s="17" t="s">
        <v>441</v>
      </c>
    </row>
    <row r="97" spans="38:38" x14ac:dyDescent="0.25">
      <c r="AL97" s="17" t="s">
        <v>641</v>
      </c>
    </row>
    <row r="98" spans="38:38" x14ac:dyDescent="0.25">
      <c r="AL98" s="17" t="s">
        <v>642</v>
      </c>
    </row>
    <row r="99" spans="38:38" x14ac:dyDescent="0.25">
      <c r="AL99" s="17" t="s">
        <v>645</v>
      </c>
    </row>
    <row r="100" spans="38:38" x14ac:dyDescent="0.25">
      <c r="AL100" s="17" t="s">
        <v>646</v>
      </c>
    </row>
    <row r="101" spans="38:38" x14ac:dyDescent="0.25">
      <c r="AL101" s="17" t="s">
        <v>647</v>
      </c>
    </row>
    <row r="102" spans="38:38" x14ac:dyDescent="0.25">
      <c r="AL102" s="17" t="s">
        <v>650</v>
      </c>
    </row>
    <row r="103" spans="38:38" x14ac:dyDescent="0.25">
      <c r="AL103" s="17" t="s">
        <v>651</v>
      </c>
    </row>
    <row r="104" spans="38:38" x14ac:dyDescent="0.25">
      <c r="AL104" s="17" t="s">
        <v>652</v>
      </c>
    </row>
    <row r="105" spans="38:38" x14ac:dyDescent="0.25">
      <c r="AL105" s="17" t="s">
        <v>653</v>
      </c>
    </row>
    <row r="106" spans="38:38" x14ac:dyDescent="0.25">
      <c r="AL106" s="17" t="s">
        <v>655</v>
      </c>
    </row>
    <row r="107" spans="38:38" x14ac:dyDescent="0.25">
      <c r="AL107" s="17" t="s">
        <v>656</v>
      </c>
    </row>
    <row r="108" spans="38:38" x14ac:dyDescent="0.25">
      <c r="AL108" s="17" t="s">
        <v>658</v>
      </c>
    </row>
    <row r="109" spans="38:38" x14ac:dyDescent="0.25">
      <c r="AL109" s="17" t="s">
        <v>661</v>
      </c>
    </row>
    <row r="110" spans="38:38" x14ac:dyDescent="0.25">
      <c r="AL110" s="17" t="s">
        <v>672</v>
      </c>
    </row>
    <row r="111" spans="38:38" x14ac:dyDescent="0.25">
      <c r="AL111" s="17" t="s">
        <v>673</v>
      </c>
    </row>
    <row r="112" spans="38:38" x14ac:dyDescent="0.25">
      <c r="AL112" s="17" t="s">
        <v>676</v>
      </c>
    </row>
    <row r="113" spans="38:38" x14ac:dyDescent="0.25">
      <c r="AL113" s="17" t="s">
        <v>677</v>
      </c>
    </row>
    <row r="114" spans="38:38" x14ac:dyDescent="0.25">
      <c r="AL114" s="17" t="s">
        <v>678</v>
      </c>
    </row>
    <row r="115" spans="38:38" x14ac:dyDescent="0.25">
      <c r="AL115" s="17" t="s">
        <v>683</v>
      </c>
    </row>
    <row r="116" spans="38:38" x14ac:dyDescent="0.25">
      <c r="AL116" s="17" t="s">
        <v>684</v>
      </c>
    </row>
    <row r="117" spans="38:38" x14ac:dyDescent="0.25">
      <c r="AL117" s="17" t="s">
        <v>685</v>
      </c>
    </row>
    <row r="118" spans="38:38" x14ac:dyDescent="0.25">
      <c r="AL118" s="17" t="s">
        <v>689</v>
      </c>
    </row>
    <row r="119" spans="38:38" x14ac:dyDescent="0.25">
      <c r="AL119" s="17" t="s">
        <v>690</v>
      </c>
    </row>
    <row r="120" spans="38:38" x14ac:dyDescent="0.25">
      <c r="AL120" s="17" t="s">
        <v>692</v>
      </c>
    </row>
    <row r="121" spans="38:38" x14ac:dyDescent="0.25">
      <c r="AL121" s="17" t="s">
        <v>693</v>
      </c>
    </row>
    <row r="122" spans="38:38" x14ac:dyDescent="0.25">
      <c r="AL122" s="17" t="s">
        <v>694</v>
      </c>
    </row>
    <row r="123" spans="38:38" x14ac:dyDescent="0.25">
      <c r="AL123" s="17" t="s">
        <v>695</v>
      </c>
    </row>
    <row r="124" spans="38:38" x14ac:dyDescent="0.25">
      <c r="AL124" s="17" t="s">
        <v>697</v>
      </c>
    </row>
    <row r="125" spans="38:38" x14ac:dyDescent="0.25">
      <c r="AL125" s="17" t="s">
        <v>701</v>
      </c>
    </row>
    <row r="126" spans="38:38" x14ac:dyDescent="0.25">
      <c r="AL126" s="17" t="s">
        <v>705</v>
      </c>
    </row>
    <row r="127" spans="38:38" x14ac:dyDescent="0.25">
      <c r="AL127" s="17" t="s">
        <v>708</v>
      </c>
    </row>
    <row r="128" spans="38:38" x14ac:dyDescent="0.25">
      <c r="AL128" s="17" t="s">
        <v>710</v>
      </c>
    </row>
    <row r="129" spans="38:38" x14ac:dyDescent="0.25">
      <c r="AL129" s="17" t="s">
        <v>711</v>
      </c>
    </row>
    <row r="130" spans="38:38" x14ac:dyDescent="0.25">
      <c r="AL130" s="17" t="s">
        <v>713</v>
      </c>
    </row>
    <row r="131" spans="38:38" x14ac:dyDescent="0.25">
      <c r="AL131" s="17" t="s">
        <v>715</v>
      </c>
    </row>
    <row r="132" spans="38:38" x14ac:dyDescent="0.25">
      <c r="AL132" s="17" t="s">
        <v>716</v>
      </c>
    </row>
    <row r="133" spans="38:38" x14ac:dyDescent="0.25">
      <c r="AL133" s="17" t="s">
        <v>717</v>
      </c>
    </row>
    <row r="134" spans="38:38" x14ac:dyDescent="0.25">
      <c r="AL134" s="17" t="s">
        <v>718</v>
      </c>
    </row>
    <row r="135" spans="38:38" x14ac:dyDescent="0.25">
      <c r="AL135" s="17" t="s">
        <v>719</v>
      </c>
    </row>
    <row r="136" spans="38:38" x14ac:dyDescent="0.25">
      <c r="AL136" s="17" t="s">
        <v>720</v>
      </c>
    </row>
    <row r="137" spans="38:38" x14ac:dyDescent="0.25">
      <c r="AL137" s="17" t="s">
        <v>722</v>
      </c>
    </row>
    <row r="138" spans="38:38" x14ac:dyDescent="0.25">
      <c r="AL138" s="17" t="s">
        <v>723</v>
      </c>
    </row>
    <row r="139" spans="38:38" x14ac:dyDescent="0.25">
      <c r="AL139" s="17" t="s">
        <v>225</v>
      </c>
    </row>
    <row r="140" spans="38:38" x14ac:dyDescent="0.25">
      <c r="AL140" s="17" t="s">
        <v>724</v>
      </c>
    </row>
    <row r="141" spans="38:38" x14ac:dyDescent="0.25">
      <c r="AL141" s="17" t="s">
        <v>726</v>
      </c>
    </row>
    <row r="142" spans="38:38" x14ac:dyDescent="0.25">
      <c r="AL142" s="17" t="s">
        <v>727</v>
      </c>
    </row>
    <row r="143" spans="38:38" x14ac:dyDescent="0.25">
      <c r="AL143" s="17" t="s">
        <v>728</v>
      </c>
    </row>
    <row r="144" spans="38:38" x14ac:dyDescent="0.25">
      <c r="AL144" s="17" t="s">
        <v>729</v>
      </c>
    </row>
    <row r="145" spans="38:38" x14ac:dyDescent="0.25">
      <c r="AL145" s="17" t="s">
        <v>730</v>
      </c>
    </row>
    <row r="146" spans="38:38" x14ac:dyDescent="0.25">
      <c r="AL146" s="17" t="s">
        <v>734</v>
      </c>
    </row>
    <row r="147" spans="38:38" x14ac:dyDescent="0.25">
      <c r="AL147" s="17" t="s">
        <v>735</v>
      </c>
    </row>
    <row r="148" spans="38:38" x14ac:dyDescent="0.25">
      <c r="AL148" s="17" t="s">
        <v>736</v>
      </c>
    </row>
    <row r="149" spans="38:38" x14ac:dyDescent="0.25">
      <c r="AL149" s="17" t="s">
        <v>737</v>
      </c>
    </row>
    <row r="150" spans="38:38" x14ac:dyDescent="0.25">
      <c r="AL150" s="17" t="s">
        <v>738</v>
      </c>
    </row>
    <row r="151" spans="38:38" x14ac:dyDescent="0.25">
      <c r="AL151" s="17" t="s">
        <v>740</v>
      </c>
    </row>
    <row r="152" spans="38:38" x14ac:dyDescent="0.25">
      <c r="AL152" s="17" t="s">
        <v>741</v>
      </c>
    </row>
    <row r="153" spans="38:38" x14ac:dyDescent="0.25">
      <c r="AL153" s="17" t="s">
        <v>742</v>
      </c>
    </row>
    <row r="154" spans="38:38" x14ac:dyDescent="0.25">
      <c r="AL154" s="17" t="s">
        <v>744</v>
      </c>
    </row>
    <row r="155" spans="38:38" x14ac:dyDescent="0.25">
      <c r="AL155" s="17" t="s">
        <v>745</v>
      </c>
    </row>
    <row r="156" spans="38:38" x14ac:dyDescent="0.25">
      <c r="AL156" s="17" t="s">
        <v>748</v>
      </c>
    </row>
    <row r="157" spans="38:38" x14ac:dyDescent="0.25">
      <c r="AL157" s="17" t="s">
        <v>749</v>
      </c>
    </row>
    <row r="158" spans="38:38" x14ac:dyDescent="0.25">
      <c r="AL158" s="17" t="s">
        <v>750</v>
      </c>
    </row>
    <row r="159" spans="38:38" x14ac:dyDescent="0.25">
      <c r="AL159" s="17" t="s">
        <v>751</v>
      </c>
    </row>
    <row r="160" spans="38:38" x14ac:dyDescent="0.25">
      <c r="AL160" s="17" t="s">
        <v>752</v>
      </c>
    </row>
    <row r="161" spans="38:38" x14ac:dyDescent="0.25">
      <c r="AL161" s="17" t="s">
        <v>755</v>
      </c>
    </row>
    <row r="162" spans="38:38" x14ac:dyDescent="0.25">
      <c r="AL162" s="17" t="s">
        <v>757</v>
      </c>
    </row>
    <row r="163" spans="38:38" x14ac:dyDescent="0.25">
      <c r="AL163" s="17" t="s">
        <v>758</v>
      </c>
    </row>
    <row r="164" spans="38:38" x14ac:dyDescent="0.25">
      <c r="AL164" s="17" t="s">
        <v>759</v>
      </c>
    </row>
    <row r="165" spans="38:38" x14ac:dyDescent="0.25">
      <c r="AL165" s="17" t="s">
        <v>760</v>
      </c>
    </row>
    <row r="166" spans="38:38" x14ac:dyDescent="0.25">
      <c r="AL166" s="17" t="s">
        <v>761</v>
      </c>
    </row>
    <row r="167" spans="38:38" x14ac:dyDescent="0.25">
      <c r="AL167" s="17" t="s">
        <v>766</v>
      </c>
    </row>
    <row r="168" spans="38:38" x14ac:dyDescent="0.25">
      <c r="AL168" s="17" t="s">
        <v>767</v>
      </c>
    </row>
    <row r="169" spans="38:38" x14ac:dyDescent="0.25">
      <c r="AL169" s="17" t="s">
        <v>768</v>
      </c>
    </row>
    <row r="170" spans="38:38" x14ac:dyDescent="0.25">
      <c r="AL170" s="17">
        <v>1700</v>
      </c>
    </row>
    <row r="171" spans="38:38" x14ac:dyDescent="0.25">
      <c r="AL171" s="17" t="s">
        <v>770</v>
      </c>
    </row>
    <row r="172" spans="38:38" x14ac:dyDescent="0.25">
      <c r="AL172" s="17" t="s">
        <v>771</v>
      </c>
    </row>
    <row r="173" spans="38:38" x14ac:dyDescent="0.25">
      <c r="AL173" s="17" t="s">
        <v>775</v>
      </c>
    </row>
    <row r="174" spans="38:38" x14ac:dyDescent="0.25">
      <c r="AL174" s="17" t="s">
        <v>776</v>
      </c>
    </row>
    <row r="175" spans="38:38" x14ac:dyDescent="0.25">
      <c r="AL175" s="17" t="s">
        <v>778</v>
      </c>
    </row>
    <row r="176" spans="38:38" x14ac:dyDescent="0.25">
      <c r="AL176" s="17" t="s">
        <v>780</v>
      </c>
    </row>
    <row r="177" spans="38:38" x14ac:dyDescent="0.25">
      <c r="AL177" s="17" t="s">
        <v>783</v>
      </c>
    </row>
    <row r="178" spans="38:38" x14ac:dyDescent="0.25">
      <c r="AL178" s="17" t="s">
        <v>788</v>
      </c>
    </row>
    <row r="179" spans="38:38" x14ac:dyDescent="0.25">
      <c r="AL179" s="17" t="s">
        <v>789</v>
      </c>
    </row>
    <row r="180" spans="38:38" x14ac:dyDescent="0.25">
      <c r="AL180" s="17" t="s">
        <v>790</v>
      </c>
    </row>
    <row r="181" spans="38:38" x14ac:dyDescent="0.25">
      <c r="AL181" s="17" t="s">
        <v>791</v>
      </c>
    </row>
    <row r="182" spans="38:38" x14ac:dyDescent="0.25">
      <c r="AL182" s="17" t="s">
        <v>793</v>
      </c>
    </row>
    <row r="183" spans="38:38" x14ac:dyDescent="0.25">
      <c r="AL183" s="17" t="s">
        <v>795</v>
      </c>
    </row>
    <row r="184" spans="38:38" x14ac:dyDescent="0.25">
      <c r="AL184" s="17" t="s">
        <v>797</v>
      </c>
    </row>
  </sheetData>
  <sheetProtection algorithmName="SHA-512" hashValue="hk7EA4Ra9YyllkzDhSfaSaFmmvMoMARGR0HCJaV5zXsJrh13QWXGaXC/50kUkJDN2hfKywKzMkhgC+H3LCh/WA==" saltValue="N9598u9hQahpD9T0W8puNA==" spinCount="100000" sheet="1" objects="1" scenarios="1"/>
  <customSheetViews>
    <customSheetView guid="{CCC669E6-9206-451E-B429-F917E5EBF5A5}" showPageBreaks="1" showGridLines="0" showRowCol="0">
      <selection activeCell="C11" sqref="C11"/>
      <pageMargins left="0.7" right="0.7" top="0.75" bottom="0.75" header="0.3" footer="0.3"/>
    </customSheetView>
  </customSheetView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gastos">
                <anchor moveWithCells="1" sizeWithCells="1">
                  <from>
                    <xdr:col>13</xdr:col>
                    <xdr:colOff>114300</xdr:colOff>
                    <xdr:row>6</xdr:row>
                    <xdr:rowOff>0</xdr:rowOff>
                  </from>
                  <to>
                    <xdr:col>16</xdr:col>
                    <xdr:colOff>533400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4">
    <pageSetUpPr autoPageBreaks="0"/>
  </sheetPr>
  <dimension ref="A1:C167"/>
  <sheetViews>
    <sheetView showGridLines="0" showRowColHeaders="0" topLeftCell="A12" zoomScaleNormal="100" workbookViewId="0">
      <selection activeCell="B3" sqref="B3"/>
    </sheetView>
  </sheetViews>
  <sheetFormatPr defaultColWidth="8.7109375" defaultRowHeight="15" x14ac:dyDescent="0.25"/>
  <cols>
    <col min="1" max="1" width="8.85546875" customWidth="1"/>
    <col min="2" max="2" width="32.42578125" bestFit="1" customWidth="1"/>
    <col min="3" max="3" width="14.7109375" style="17" bestFit="1" customWidth="1"/>
    <col min="4" max="16384" width="8.7109375" style="17"/>
  </cols>
  <sheetData>
    <row r="1" spans="2:3" x14ac:dyDescent="0.25">
      <c r="B1" t="s">
        <v>798</v>
      </c>
      <c r="C1"/>
    </row>
    <row r="2" spans="2:3" x14ac:dyDescent="0.25">
      <c r="B2" t="s">
        <v>830</v>
      </c>
      <c r="C2"/>
    </row>
    <row r="3" spans="2:3" x14ac:dyDescent="0.25">
      <c r="B3" t="s">
        <v>0</v>
      </c>
      <c r="C3"/>
    </row>
    <row r="4" spans="2:3" x14ac:dyDescent="0.25">
      <c r="B4" t="s">
        <v>799</v>
      </c>
      <c r="C4"/>
    </row>
    <row r="5" spans="2:3" x14ac:dyDescent="0.25">
      <c r="B5" t="s">
        <v>834</v>
      </c>
      <c r="C5"/>
    </row>
    <row r="6" spans="2:3" x14ac:dyDescent="0.25">
      <c r="B6" t="s">
        <v>800</v>
      </c>
      <c r="C6"/>
    </row>
    <row r="7" spans="2:3" x14ac:dyDescent="0.25">
      <c r="B7" t="s">
        <v>801</v>
      </c>
      <c r="C7"/>
    </row>
    <row r="8" spans="2:3" x14ac:dyDescent="0.25">
      <c r="B8" t="s">
        <v>802</v>
      </c>
      <c r="C8"/>
    </row>
    <row r="9" spans="2:3" x14ac:dyDescent="0.25">
      <c r="B9" t="s">
        <v>803</v>
      </c>
      <c r="C9"/>
    </row>
    <row r="10" spans="2:3" x14ac:dyDescent="0.25">
      <c r="B10" t="s">
        <v>804</v>
      </c>
      <c r="C10"/>
    </row>
    <row r="11" spans="2:3" x14ac:dyDescent="0.25">
      <c r="B11" t="s">
        <v>805</v>
      </c>
      <c r="C11"/>
    </row>
    <row r="12" spans="2:3" x14ac:dyDescent="0.25">
      <c r="B12" t="s">
        <v>806</v>
      </c>
      <c r="C12"/>
    </row>
    <row r="13" spans="2:3" x14ac:dyDescent="0.25">
      <c r="B13" t="s">
        <v>807</v>
      </c>
      <c r="C13"/>
    </row>
    <row r="14" spans="2:3" x14ac:dyDescent="0.25">
      <c r="B14" t="s">
        <v>808</v>
      </c>
      <c r="C14"/>
    </row>
    <row r="15" spans="2:3" x14ac:dyDescent="0.25">
      <c r="B15" t="s">
        <v>809</v>
      </c>
      <c r="C15"/>
    </row>
    <row r="16" spans="2:3" x14ac:dyDescent="0.25">
      <c r="B16" t="s">
        <v>810</v>
      </c>
      <c r="C16"/>
    </row>
    <row r="17" spans="2:3" x14ac:dyDescent="0.25">
      <c r="B17" t="s">
        <v>879</v>
      </c>
      <c r="C17"/>
    </row>
    <row r="18" spans="2:3" x14ac:dyDescent="0.25">
      <c r="B18" t="s">
        <v>811</v>
      </c>
      <c r="C18"/>
    </row>
    <row r="19" spans="2:3" x14ac:dyDescent="0.25">
      <c r="B19" t="s">
        <v>812</v>
      </c>
      <c r="C19"/>
    </row>
    <row r="20" spans="2:3" x14ac:dyDescent="0.25">
      <c r="B20" t="s">
        <v>813</v>
      </c>
      <c r="C20"/>
    </row>
    <row r="21" spans="2:3" x14ac:dyDescent="0.25">
      <c r="B21" t="s">
        <v>835</v>
      </c>
      <c r="C21"/>
    </row>
    <row r="22" spans="2:3" x14ac:dyDescent="0.25">
      <c r="B22" t="s">
        <v>816</v>
      </c>
      <c r="C22"/>
    </row>
    <row r="23" spans="2:3" x14ac:dyDescent="0.25">
      <c r="B23" t="s">
        <v>815</v>
      </c>
      <c r="C23"/>
    </row>
    <row r="24" spans="2:3" x14ac:dyDescent="0.25">
      <c r="B24" t="s">
        <v>817</v>
      </c>
      <c r="C24"/>
    </row>
    <row r="25" spans="2:3" x14ac:dyDescent="0.25">
      <c r="B25" t="s">
        <v>818</v>
      </c>
      <c r="C25"/>
    </row>
    <row r="26" spans="2:3" x14ac:dyDescent="0.25">
      <c r="B26" t="s">
        <v>831</v>
      </c>
      <c r="C26"/>
    </row>
    <row r="27" spans="2:3" x14ac:dyDescent="0.25">
      <c r="B27" s="34" t="s">
        <v>832</v>
      </c>
      <c r="C27"/>
    </row>
    <row r="28" spans="2:3" x14ac:dyDescent="0.25">
      <c r="B28" s="34" t="s">
        <v>837</v>
      </c>
      <c r="C28"/>
    </row>
    <row r="29" spans="2:3" x14ac:dyDescent="0.25">
      <c r="B29" s="34" t="s">
        <v>836</v>
      </c>
      <c r="C29"/>
    </row>
    <row r="30" spans="2:3" x14ac:dyDescent="0.25">
      <c r="B30" t="s">
        <v>821</v>
      </c>
      <c r="C30"/>
    </row>
    <row r="31" spans="2:3" x14ac:dyDescent="0.25">
      <c r="B31" t="s">
        <v>852</v>
      </c>
      <c r="C31"/>
    </row>
    <row r="32" spans="2:3" x14ac:dyDescent="0.25">
      <c r="B32" t="s">
        <v>822</v>
      </c>
      <c r="C32"/>
    </row>
    <row r="33" spans="2:3" x14ac:dyDescent="0.25">
      <c r="B33" t="s">
        <v>823</v>
      </c>
      <c r="C33"/>
    </row>
    <row r="34" spans="2:3" x14ac:dyDescent="0.25">
      <c r="B34" t="s">
        <v>824</v>
      </c>
      <c r="C34"/>
    </row>
    <row r="35" spans="2:3" x14ac:dyDescent="0.25">
      <c r="B35" t="s">
        <v>825</v>
      </c>
      <c r="C35"/>
    </row>
    <row r="36" spans="2:3" x14ac:dyDescent="0.25">
      <c r="B36" t="s">
        <v>826</v>
      </c>
      <c r="C36"/>
    </row>
    <row r="37" spans="2:3" x14ac:dyDescent="0.25">
      <c r="B37" t="s">
        <v>827</v>
      </c>
      <c r="C37"/>
    </row>
    <row r="38" spans="2:3" x14ac:dyDescent="0.25">
      <c r="B38" t="s">
        <v>828</v>
      </c>
      <c r="C38"/>
    </row>
    <row r="39" spans="2:3" x14ac:dyDescent="0.25">
      <c r="B39" t="s">
        <v>829</v>
      </c>
      <c r="C39"/>
    </row>
    <row r="40" spans="2:3" x14ac:dyDescent="0.25">
      <c r="B40" t="s">
        <v>838</v>
      </c>
      <c r="C40"/>
    </row>
    <row r="41" spans="2:3" x14ac:dyDescent="0.25">
      <c r="B41" t="s">
        <v>839</v>
      </c>
      <c r="C41"/>
    </row>
    <row r="42" spans="2:3" x14ac:dyDescent="0.25">
      <c r="B42" t="s">
        <v>840</v>
      </c>
      <c r="C42"/>
    </row>
    <row r="43" spans="2:3" x14ac:dyDescent="0.25">
      <c r="B43" t="s">
        <v>841</v>
      </c>
      <c r="C43"/>
    </row>
    <row r="44" spans="2:3" x14ac:dyDescent="0.25">
      <c r="B44" t="s">
        <v>845</v>
      </c>
      <c r="C44"/>
    </row>
    <row r="45" spans="2:3" x14ac:dyDescent="0.25">
      <c r="B45" t="s">
        <v>846</v>
      </c>
      <c r="C45"/>
    </row>
    <row r="46" spans="2:3" x14ac:dyDescent="0.25">
      <c r="B46" t="s">
        <v>842</v>
      </c>
      <c r="C46"/>
    </row>
    <row r="47" spans="2:3" x14ac:dyDescent="0.25">
      <c r="B47" t="s">
        <v>843</v>
      </c>
      <c r="C47"/>
    </row>
    <row r="48" spans="2:3" x14ac:dyDescent="0.25">
      <c r="B48" t="s">
        <v>847</v>
      </c>
      <c r="C48"/>
    </row>
    <row r="49" spans="2:3" x14ac:dyDescent="0.25">
      <c r="B49" t="s">
        <v>844</v>
      </c>
      <c r="C49"/>
    </row>
    <row r="50" spans="2:3" x14ac:dyDescent="0.25">
      <c r="B50" t="s">
        <v>850</v>
      </c>
      <c r="C50"/>
    </row>
    <row r="51" spans="2:3" x14ac:dyDescent="0.25">
      <c r="B51" t="s">
        <v>851</v>
      </c>
      <c r="C51"/>
    </row>
    <row r="52" spans="2:3" x14ac:dyDescent="0.25">
      <c r="B52" t="s">
        <v>1</v>
      </c>
      <c r="C52"/>
    </row>
    <row r="53" spans="2:3" x14ac:dyDescent="0.25">
      <c r="B53" s="45" t="s">
        <v>885</v>
      </c>
      <c r="C53"/>
    </row>
    <row r="54" spans="2:3" x14ac:dyDescent="0.25">
      <c r="B54" s="45" t="s">
        <v>886</v>
      </c>
      <c r="C54"/>
    </row>
    <row r="55" spans="2:3" x14ac:dyDescent="0.25">
      <c r="B55" s="45" t="s">
        <v>887</v>
      </c>
      <c r="C55"/>
    </row>
    <row r="56" spans="2:3" x14ac:dyDescent="0.25">
      <c r="B56" s="45" t="s">
        <v>888</v>
      </c>
      <c r="C56"/>
    </row>
    <row r="57" spans="2:3" x14ac:dyDescent="0.25">
      <c r="B57" s="45" t="s">
        <v>855</v>
      </c>
      <c r="C57"/>
    </row>
    <row r="58" spans="2:3" x14ac:dyDescent="0.25">
      <c r="B58" s="45" t="s">
        <v>856</v>
      </c>
      <c r="C58"/>
    </row>
    <row r="59" spans="2:3" x14ac:dyDescent="0.25">
      <c r="B59" s="45" t="s">
        <v>857</v>
      </c>
      <c r="C59"/>
    </row>
    <row r="60" spans="2:3" x14ac:dyDescent="0.25">
      <c r="B60" s="45" t="s">
        <v>858</v>
      </c>
      <c r="C60"/>
    </row>
    <row r="61" spans="2:3" x14ac:dyDescent="0.25">
      <c r="B61" s="45" t="s">
        <v>859</v>
      </c>
      <c r="C61"/>
    </row>
    <row r="62" spans="2:3" x14ac:dyDescent="0.25">
      <c r="B62" s="45" t="s">
        <v>860</v>
      </c>
      <c r="C62"/>
    </row>
    <row r="63" spans="2:3" x14ac:dyDescent="0.25">
      <c r="B63" s="45" t="s">
        <v>861</v>
      </c>
      <c r="C63"/>
    </row>
    <row r="64" spans="2:3" x14ac:dyDescent="0.25">
      <c r="B64" s="45" t="s">
        <v>890</v>
      </c>
      <c r="C64"/>
    </row>
    <row r="65" spans="2:3" x14ac:dyDescent="0.25">
      <c r="B65" s="45" t="s">
        <v>862</v>
      </c>
      <c r="C65"/>
    </row>
    <row r="66" spans="2:3" x14ac:dyDescent="0.25">
      <c r="B66" s="45" t="s">
        <v>863</v>
      </c>
      <c r="C66"/>
    </row>
    <row r="67" spans="2:3" x14ac:dyDescent="0.25">
      <c r="B67" s="45" t="s">
        <v>864</v>
      </c>
      <c r="C67"/>
    </row>
    <row r="68" spans="2:3" x14ac:dyDescent="0.25">
      <c r="B68" s="45" t="s">
        <v>865</v>
      </c>
      <c r="C68"/>
    </row>
    <row r="69" spans="2:3" x14ac:dyDescent="0.25">
      <c r="B69" s="45" t="s">
        <v>866</v>
      </c>
      <c r="C69"/>
    </row>
    <row r="70" spans="2:3" x14ac:dyDescent="0.25">
      <c r="B70" s="45" t="s">
        <v>867</v>
      </c>
      <c r="C70"/>
    </row>
    <row r="71" spans="2:3" x14ac:dyDescent="0.25">
      <c r="B71" s="45" t="s">
        <v>868</v>
      </c>
      <c r="C71"/>
    </row>
    <row r="72" spans="2:3" x14ac:dyDescent="0.25">
      <c r="B72" s="45" t="s">
        <v>869</v>
      </c>
      <c r="C72"/>
    </row>
    <row r="73" spans="2:3" x14ac:dyDescent="0.25">
      <c r="B73" s="45" t="s">
        <v>870</v>
      </c>
      <c r="C73"/>
    </row>
    <row r="74" spans="2:3" x14ac:dyDescent="0.25">
      <c r="B74" s="45" t="s">
        <v>871</v>
      </c>
      <c r="C74"/>
    </row>
    <row r="75" spans="2:3" x14ac:dyDescent="0.25">
      <c r="B75" s="45" t="s">
        <v>841</v>
      </c>
      <c r="C75"/>
    </row>
    <row r="76" spans="2:3" x14ac:dyDescent="0.25">
      <c r="B76" s="45" t="s">
        <v>872</v>
      </c>
      <c r="C76"/>
    </row>
    <row r="77" spans="2:3" x14ac:dyDescent="0.25">
      <c r="B77" s="45" t="s">
        <v>873</v>
      </c>
      <c r="C77"/>
    </row>
    <row r="78" spans="2:3" x14ac:dyDescent="0.25">
      <c r="B78" s="45" t="s">
        <v>874</v>
      </c>
      <c r="C78"/>
    </row>
    <row r="79" spans="2:3" x14ac:dyDescent="0.25">
      <c r="B79" s="45" t="s">
        <v>875</v>
      </c>
      <c r="C79"/>
    </row>
    <row r="80" spans="2:3" x14ac:dyDescent="0.25">
      <c r="B80" s="45" t="s">
        <v>833</v>
      </c>
      <c r="C80"/>
    </row>
    <row r="81" spans="2:3" x14ac:dyDescent="0.25">
      <c r="B81" s="45" t="s">
        <v>889</v>
      </c>
      <c r="C81"/>
    </row>
    <row r="82" spans="2:3" x14ac:dyDescent="0.25">
      <c r="B82" s="45" t="s">
        <v>853</v>
      </c>
      <c r="C82"/>
    </row>
    <row r="83" spans="2:3" x14ac:dyDescent="0.25">
      <c r="B83" s="45" t="s">
        <v>854</v>
      </c>
      <c r="C83"/>
    </row>
    <row r="84" spans="2:3" x14ac:dyDescent="0.25">
      <c r="B84" s="45" t="s">
        <v>884</v>
      </c>
      <c r="C84"/>
    </row>
    <row r="85" spans="2:3" x14ac:dyDescent="0.25">
      <c r="B85" s="45" t="s">
        <v>891</v>
      </c>
      <c r="C85"/>
    </row>
    <row r="86" spans="2:3" x14ac:dyDescent="0.25">
      <c r="B86" t="s">
        <v>892</v>
      </c>
      <c r="C86"/>
    </row>
    <row r="87" spans="2:3" x14ac:dyDescent="0.25">
      <c r="B87" t="s">
        <v>893</v>
      </c>
      <c r="C87"/>
    </row>
    <row r="88" spans="2:3" x14ac:dyDescent="0.25">
      <c r="B88" t="s">
        <v>879</v>
      </c>
      <c r="C88"/>
    </row>
    <row r="89" spans="2:3" x14ac:dyDescent="0.25">
      <c r="B89" t="s">
        <v>894</v>
      </c>
      <c r="C89"/>
    </row>
    <row r="90" spans="2:3" x14ac:dyDescent="0.25">
      <c r="B90" t="s">
        <v>876</v>
      </c>
      <c r="C90"/>
    </row>
    <row r="91" spans="2:3" x14ac:dyDescent="0.25">
      <c r="B91" t="s">
        <v>895</v>
      </c>
      <c r="C91"/>
    </row>
    <row r="92" spans="2:3" x14ac:dyDescent="0.25">
      <c r="B92" t="s">
        <v>903</v>
      </c>
      <c r="C92"/>
    </row>
    <row r="93" spans="2:3" x14ac:dyDescent="0.25">
      <c r="B93" t="s">
        <v>896</v>
      </c>
      <c r="C93"/>
    </row>
    <row r="94" spans="2:3" x14ac:dyDescent="0.25">
      <c r="B94" t="s">
        <v>897</v>
      </c>
      <c r="C94"/>
    </row>
    <row r="95" spans="2:3" x14ac:dyDescent="0.25">
      <c r="B95" t="s">
        <v>898</v>
      </c>
      <c r="C95"/>
    </row>
    <row r="96" spans="2:3" x14ac:dyDescent="0.25">
      <c r="B96" t="s">
        <v>877</v>
      </c>
      <c r="C96"/>
    </row>
    <row r="97" spans="2:3" x14ac:dyDescent="0.25">
      <c r="B97" t="s">
        <v>899</v>
      </c>
      <c r="C97"/>
    </row>
    <row r="98" spans="2:3" x14ac:dyDescent="0.25">
      <c r="B98" t="s">
        <v>883</v>
      </c>
      <c r="C98"/>
    </row>
    <row r="99" spans="2:3" x14ac:dyDescent="0.25">
      <c r="B99" t="s">
        <v>900</v>
      </c>
      <c r="C99"/>
    </row>
    <row r="100" spans="2:3" x14ac:dyDescent="0.25">
      <c r="B100" t="s">
        <v>904</v>
      </c>
      <c r="C100"/>
    </row>
    <row r="101" spans="2:3" x14ac:dyDescent="0.25">
      <c r="B101" t="s">
        <v>882</v>
      </c>
      <c r="C101"/>
    </row>
    <row r="102" spans="2:3" x14ac:dyDescent="0.25">
      <c r="B102" t="s">
        <v>901</v>
      </c>
      <c r="C102"/>
    </row>
    <row r="103" spans="2:3" x14ac:dyDescent="0.25">
      <c r="B103" t="s">
        <v>881</v>
      </c>
      <c r="C103"/>
    </row>
    <row r="104" spans="2:3" x14ac:dyDescent="0.25">
      <c r="B104" t="s">
        <v>902</v>
      </c>
      <c r="C104"/>
    </row>
    <row r="105" spans="2:3" x14ac:dyDescent="0.25">
      <c r="B105" t="s">
        <v>877</v>
      </c>
      <c r="C105"/>
    </row>
    <row r="106" spans="2:3" x14ac:dyDescent="0.25">
      <c r="B106" t="s">
        <v>880</v>
      </c>
      <c r="C106"/>
    </row>
    <row r="107" spans="2:3" x14ac:dyDescent="0.25">
      <c r="B107" t="s">
        <v>878</v>
      </c>
      <c r="C107"/>
    </row>
    <row r="108" spans="2:3" x14ac:dyDescent="0.25">
      <c r="B108" t="s">
        <v>905</v>
      </c>
      <c r="C108"/>
    </row>
    <row r="109" spans="2:3" x14ac:dyDescent="0.25">
      <c r="B109" t="s">
        <v>906</v>
      </c>
      <c r="C109"/>
    </row>
    <row r="110" spans="2:3" x14ac:dyDescent="0.25">
      <c r="B110" t="s">
        <v>907</v>
      </c>
      <c r="C110"/>
    </row>
    <row r="111" spans="2:3" x14ac:dyDescent="0.25">
      <c r="C111"/>
    </row>
    <row r="112" spans="2:3" x14ac:dyDescent="0.25">
      <c r="C112"/>
    </row>
    <row r="113" spans="3:3" x14ac:dyDescent="0.25">
      <c r="C113"/>
    </row>
    <row r="114" spans="3:3" x14ac:dyDescent="0.25">
      <c r="C114"/>
    </row>
    <row r="115" spans="3:3" x14ac:dyDescent="0.25">
      <c r="C115"/>
    </row>
    <row r="116" spans="3:3" x14ac:dyDescent="0.25">
      <c r="C116"/>
    </row>
    <row r="117" spans="3:3" x14ac:dyDescent="0.25">
      <c r="C117"/>
    </row>
    <row r="118" spans="3:3" x14ac:dyDescent="0.25">
      <c r="C118"/>
    </row>
    <row r="119" spans="3:3" x14ac:dyDescent="0.25">
      <c r="C119"/>
    </row>
    <row r="120" spans="3:3" x14ac:dyDescent="0.25">
      <c r="C120"/>
    </row>
    <row r="121" spans="3:3" x14ac:dyDescent="0.25">
      <c r="C121"/>
    </row>
    <row r="122" spans="3:3" x14ac:dyDescent="0.25">
      <c r="C122"/>
    </row>
    <row r="123" spans="3:3" x14ac:dyDescent="0.25">
      <c r="C123"/>
    </row>
    <row r="124" spans="3:3" x14ac:dyDescent="0.25">
      <c r="C124"/>
    </row>
    <row r="125" spans="3:3" x14ac:dyDescent="0.25">
      <c r="C125"/>
    </row>
    <row r="126" spans="3:3" x14ac:dyDescent="0.25">
      <c r="C126"/>
    </row>
    <row r="127" spans="3:3" x14ac:dyDescent="0.25">
      <c r="C127"/>
    </row>
    <row r="128" spans="3:3" x14ac:dyDescent="0.25">
      <c r="C128"/>
    </row>
    <row r="129" spans="3:3" x14ac:dyDescent="0.25">
      <c r="C129"/>
    </row>
    <row r="130" spans="3:3" x14ac:dyDescent="0.25">
      <c r="C130"/>
    </row>
    <row r="131" spans="3:3" x14ac:dyDescent="0.25">
      <c r="C131"/>
    </row>
    <row r="132" spans="3:3" x14ac:dyDescent="0.25">
      <c r="C132"/>
    </row>
    <row r="133" spans="3:3" x14ac:dyDescent="0.25">
      <c r="C133"/>
    </row>
    <row r="134" spans="3:3" x14ac:dyDescent="0.25">
      <c r="C134"/>
    </row>
    <row r="135" spans="3:3" x14ac:dyDescent="0.25">
      <c r="C135"/>
    </row>
    <row r="136" spans="3:3" x14ac:dyDescent="0.25">
      <c r="C136"/>
    </row>
    <row r="137" spans="3:3" x14ac:dyDescent="0.25">
      <c r="C137"/>
    </row>
    <row r="138" spans="3:3" x14ac:dyDescent="0.25">
      <c r="C138"/>
    </row>
    <row r="139" spans="3:3" x14ac:dyDescent="0.25">
      <c r="C139"/>
    </row>
    <row r="140" spans="3:3" x14ac:dyDescent="0.25">
      <c r="C140"/>
    </row>
    <row r="141" spans="3:3" x14ac:dyDescent="0.25">
      <c r="C141"/>
    </row>
    <row r="142" spans="3:3" x14ac:dyDescent="0.25">
      <c r="C142"/>
    </row>
    <row r="143" spans="3:3" x14ac:dyDescent="0.25">
      <c r="C143"/>
    </row>
    <row r="144" spans="3:3" x14ac:dyDescent="0.25">
      <c r="C144"/>
    </row>
    <row r="145" spans="3:3" x14ac:dyDescent="0.25">
      <c r="C145"/>
    </row>
    <row r="146" spans="3:3" x14ac:dyDescent="0.25">
      <c r="C146"/>
    </row>
    <row r="147" spans="3:3" x14ac:dyDescent="0.25">
      <c r="C147"/>
    </row>
    <row r="148" spans="3:3" x14ac:dyDescent="0.25">
      <c r="C148"/>
    </row>
    <row r="149" spans="3:3" x14ac:dyDescent="0.25">
      <c r="C149"/>
    </row>
    <row r="150" spans="3:3" x14ac:dyDescent="0.25">
      <c r="C150"/>
    </row>
    <row r="151" spans="3:3" x14ac:dyDescent="0.25">
      <c r="C151"/>
    </row>
    <row r="152" spans="3:3" x14ac:dyDescent="0.25">
      <c r="C152"/>
    </row>
    <row r="153" spans="3:3" x14ac:dyDescent="0.25">
      <c r="C153"/>
    </row>
    <row r="154" spans="3:3" x14ac:dyDescent="0.25">
      <c r="C154"/>
    </row>
    <row r="155" spans="3:3" x14ac:dyDescent="0.25">
      <c r="C155"/>
    </row>
    <row r="156" spans="3:3" x14ac:dyDescent="0.25">
      <c r="C156"/>
    </row>
    <row r="157" spans="3:3" x14ac:dyDescent="0.25">
      <c r="C157"/>
    </row>
    <row r="158" spans="3:3" x14ac:dyDescent="0.25">
      <c r="C158"/>
    </row>
    <row r="159" spans="3:3" x14ac:dyDescent="0.25">
      <c r="C159"/>
    </row>
    <row r="160" spans="3:3" x14ac:dyDescent="0.25">
      <c r="C160"/>
    </row>
    <row r="161" spans="3:3" x14ac:dyDescent="0.25">
      <c r="C161"/>
    </row>
    <row r="162" spans="3:3" x14ac:dyDescent="0.25">
      <c r="C162"/>
    </row>
    <row r="163" spans="3:3" x14ac:dyDescent="0.25">
      <c r="C163"/>
    </row>
    <row r="164" spans="3:3" x14ac:dyDescent="0.25">
      <c r="C164"/>
    </row>
    <row r="165" spans="3:3" x14ac:dyDescent="0.25">
      <c r="C165"/>
    </row>
    <row r="166" spans="3:3" x14ac:dyDescent="0.25">
      <c r="C166"/>
    </row>
    <row r="167" spans="3:3" x14ac:dyDescent="0.25">
      <c r="C167"/>
    </row>
  </sheetData>
  <sheetProtection algorithmName="SHA-512" hashValue="uQTXnJpg4NA1StbuxgBvFxPhz4IzwDp+b68ORVL6LTUUvePeTsXZKcCNs4GjbeHpC78Kn6bWHsWBjTiGaZdxYQ==" saltValue="w1LjqtUFFfZf7bzZzYOwiQ==" spinCount="100000" sheet="1" objects="1" scenarios="1"/>
  <customSheetViews>
    <customSheetView guid="{CCC669E6-9206-451E-B429-F917E5EBF5A5}" showPageBreaks="1" showGridLines="0" showRowCol="0" topLeftCell="A85">
      <selection activeCell="B5" sqref="B1:B101"/>
      <pageMargins left="0.7" right="0.7" top="0.75" bottom="0.75" header="0.3" footer="0.3"/>
      <pageSetup paperSize="154" orientation="portrait" horizontalDpi="203" verticalDpi="203" r:id="rId1"/>
    </customSheetView>
  </customSheetViews>
  <pageMargins left="0.7" right="0.7" top="0.75" bottom="0.75" header="0.3" footer="0.3"/>
  <pageSetup paperSize="154" orientation="portrait" horizontalDpi="203" verticalDpi="203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C2C90-ED91-4B09-94B6-63EB49E301EC}">
  <sheetPr codeName="Hoja3"/>
  <dimension ref="A1"/>
  <sheetViews>
    <sheetView workbookViewId="0"/>
  </sheetViews>
  <sheetFormatPr defaultColWidth="11.42578125"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2">
    <pageSetUpPr autoPageBreaks="0"/>
  </sheetPr>
  <dimension ref="A1:C2"/>
  <sheetViews>
    <sheetView showGridLines="0" showRowColHeaders="0" topLeftCell="A10508" zoomScaleNormal="100" workbookViewId="0">
      <selection activeCell="A25" sqref="A25:C29"/>
    </sheetView>
  </sheetViews>
  <sheetFormatPr defaultColWidth="8.85546875" defaultRowHeight="15" x14ac:dyDescent="0.25"/>
  <cols>
    <col min="1" max="1" width="10.7109375" customWidth="1"/>
    <col min="2" max="2" width="20.7109375" customWidth="1"/>
    <col min="3" max="3" width="8.5703125" customWidth="1"/>
  </cols>
  <sheetData>
    <row r="1" spans="1:3" ht="15.75" thickBot="1" x14ac:dyDescent="0.3">
      <c r="A1" s="17"/>
      <c r="B1" s="19">
        <f ca="1">+NOW()</f>
        <v>44837.500996180555</v>
      </c>
      <c r="C1" s="17"/>
    </row>
    <row r="2" spans="1:3" ht="15" customHeight="1" thickBot="1" x14ac:dyDescent="0.3">
      <c r="A2" s="21"/>
      <c r="B2" s="22" t="s">
        <v>17</v>
      </c>
      <c r="C2" s="20"/>
    </row>
  </sheetData>
  <sheetProtection algorithmName="SHA-512" hashValue="r1zlJa3dyxg4KDa/Ea7GiBje/95EFQIGpgrqTvHYmJTi4ZwwuIW/W+S7bnWhMiW6eDK3sKKwYi9RgOQxsvgfZQ==" saltValue="N3W2ktZUDGCL6TvwUf6wBw==" spinCount="100000" sheet="1" objects="1" scenarios="1"/>
  <customSheetViews>
    <customSheetView guid="{CCC669E6-9206-451E-B429-F917E5EBF5A5}" showPageBreaks="1" showGridLines="0" showRowCol="0">
      <selection activeCell="A28" sqref="A28:C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77EAE-95FD-4E83-AD97-E4F7093A2A71}">
  <sheetPr codeName="Sheet3"/>
  <dimension ref="I5"/>
  <sheetViews>
    <sheetView showGridLines="0" showRowColHeaders="0" zoomScaleNormal="100" workbookViewId="0"/>
  </sheetViews>
  <sheetFormatPr defaultColWidth="9.140625" defaultRowHeight="15" x14ac:dyDescent="0.25"/>
  <cols>
    <col min="1" max="1" width="9" style="34" customWidth="1"/>
    <col min="2" max="2" width="28.7109375" style="34" customWidth="1"/>
    <col min="3" max="3" width="9" style="34" customWidth="1"/>
    <col min="4" max="4" width="28.7109375" style="34" customWidth="1"/>
    <col min="5" max="5" width="9" style="34" customWidth="1"/>
    <col min="6" max="6" width="28.7109375" style="34" customWidth="1"/>
    <col min="7" max="7" width="9" style="34" customWidth="1"/>
    <col min="8" max="8" width="28.7109375" style="34" customWidth="1"/>
    <col min="9" max="9" width="2" style="35" customWidth="1"/>
    <col min="10" max="10" width="14.85546875" style="34" bestFit="1" customWidth="1"/>
    <col min="11" max="16384" width="9.140625" style="34"/>
  </cols>
  <sheetData>
    <row r="5" spans="9:9" x14ac:dyDescent="0.25">
      <c r="I5" s="36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22534-7343-43A2-A874-1C2E0F5DCDAA}">
  <sheetPr codeName="Sheet40"/>
  <dimension ref="A1:CV242"/>
  <sheetViews>
    <sheetView workbookViewId="0">
      <selection activeCell="I26" sqref="I26"/>
    </sheetView>
  </sheetViews>
  <sheetFormatPr defaultColWidth="9.140625" defaultRowHeight="15" x14ac:dyDescent="0.25"/>
  <cols>
    <col min="1" max="1" width="30.85546875" bestFit="1" customWidth="1"/>
    <col min="6" max="6" width="12" bestFit="1" customWidth="1"/>
  </cols>
  <sheetData>
    <row r="1" spans="1:85" x14ac:dyDescent="0.25">
      <c r="A1" s="31" t="s">
        <v>29</v>
      </c>
      <c r="B1">
        <v>3600</v>
      </c>
      <c r="C1">
        <v>3863</v>
      </c>
      <c r="D1" t="s">
        <v>208</v>
      </c>
      <c r="E1" t="s">
        <v>287</v>
      </c>
      <c r="F1">
        <v>2243</v>
      </c>
      <c r="G1">
        <v>2785</v>
      </c>
      <c r="H1">
        <v>2135</v>
      </c>
      <c r="I1" t="s">
        <v>439</v>
      </c>
      <c r="J1">
        <v>3114</v>
      </c>
      <c r="K1">
        <v>5</v>
      </c>
      <c r="L1">
        <v>2379</v>
      </c>
      <c r="M1">
        <v>3207</v>
      </c>
      <c r="N1" t="s">
        <v>485</v>
      </c>
      <c r="O1">
        <v>2208</v>
      </c>
      <c r="P1">
        <v>3600</v>
      </c>
      <c r="Q1">
        <v>2900</v>
      </c>
      <c r="R1" t="s">
        <v>529</v>
      </c>
      <c r="S1">
        <v>2244</v>
      </c>
      <c r="T1">
        <v>3386</v>
      </c>
      <c r="U1">
        <v>3207</v>
      </c>
      <c r="V1">
        <v>3207</v>
      </c>
      <c r="W1">
        <v>2315</v>
      </c>
      <c r="X1">
        <v>4208</v>
      </c>
      <c r="Y1">
        <v>1960</v>
      </c>
      <c r="Z1">
        <v>2562</v>
      </c>
      <c r="AA1">
        <v>1960</v>
      </c>
      <c r="AB1">
        <v>4642</v>
      </c>
      <c r="AC1">
        <v>2172</v>
      </c>
      <c r="AD1">
        <v>3207</v>
      </c>
      <c r="AE1">
        <v>2240</v>
      </c>
      <c r="AF1">
        <v>3207</v>
      </c>
      <c r="AG1">
        <v>2329</v>
      </c>
      <c r="AH1">
        <v>3207</v>
      </c>
      <c r="AI1">
        <v>2362</v>
      </c>
      <c r="AJ1">
        <v>2208</v>
      </c>
      <c r="AK1">
        <v>2329</v>
      </c>
      <c r="AL1">
        <v>3207</v>
      </c>
      <c r="AM1">
        <v>3207</v>
      </c>
      <c r="AN1">
        <v>2229</v>
      </c>
      <c r="AO1">
        <v>2208</v>
      </c>
      <c r="AP1">
        <v>2151</v>
      </c>
      <c r="AQ1">
        <v>3207</v>
      </c>
      <c r="AR1">
        <v>3207</v>
      </c>
      <c r="AS1">
        <v>2329</v>
      </c>
      <c r="AT1">
        <v>3207</v>
      </c>
      <c r="AU1">
        <v>3207</v>
      </c>
      <c r="AV1">
        <v>2329</v>
      </c>
      <c r="AW1">
        <v>2208</v>
      </c>
      <c r="AX1">
        <v>2581</v>
      </c>
      <c r="AY1">
        <v>2543</v>
      </c>
      <c r="AZ1">
        <v>3207</v>
      </c>
      <c r="BA1">
        <v>2329</v>
      </c>
      <c r="BB1">
        <v>3863</v>
      </c>
      <c r="BC1">
        <v>2326</v>
      </c>
      <c r="BD1">
        <v>3207</v>
      </c>
      <c r="BE1">
        <v>4208</v>
      </c>
      <c r="BF1">
        <v>2900</v>
      </c>
      <c r="BG1">
        <v>2362</v>
      </c>
      <c r="BH1">
        <v>2362</v>
      </c>
      <c r="BI1">
        <v>3207</v>
      </c>
      <c r="BJ1">
        <v>2208</v>
      </c>
      <c r="BK1">
        <v>2259</v>
      </c>
      <c r="BL1">
        <v>3207</v>
      </c>
      <c r="BM1">
        <v>5207</v>
      </c>
      <c r="BN1">
        <v>2614</v>
      </c>
      <c r="BO1">
        <v>1246</v>
      </c>
      <c r="BP1">
        <v>3375</v>
      </c>
      <c r="BQ1">
        <v>2329</v>
      </c>
      <c r="BR1">
        <v>3207</v>
      </c>
      <c r="BS1">
        <v>3207</v>
      </c>
      <c r="BT1">
        <v>2377</v>
      </c>
      <c r="BU1">
        <v>2229</v>
      </c>
      <c r="BV1">
        <v>3207</v>
      </c>
      <c r="BW1">
        <v>3207</v>
      </c>
      <c r="BX1">
        <v>2610</v>
      </c>
      <c r="BY1">
        <v>2208</v>
      </c>
      <c r="BZ1">
        <v>2143</v>
      </c>
      <c r="CA1">
        <v>2155</v>
      </c>
      <c r="CB1">
        <v>2654</v>
      </c>
      <c r="CC1">
        <v>2259</v>
      </c>
      <c r="CD1">
        <v>2143</v>
      </c>
      <c r="CE1">
        <v>2345</v>
      </c>
      <c r="CF1">
        <v>4195</v>
      </c>
      <c r="CG1">
        <v>2345</v>
      </c>
    </row>
    <row r="2" spans="1:85" x14ac:dyDescent="0.25">
      <c r="A2" t="s">
        <v>30</v>
      </c>
      <c r="B2">
        <v>123</v>
      </c>
      <c r="C2">
        <v>1234</v>
      </c>
    </row>
    <row r="3" spans="1:85" x14ac:dyDescent="0.25">
      <c r="A3" t="s">
        <v>31</v>
      </c>
      <c r="B3">
        <v>322</v>
      </c>
      <c r="C3">
        <v>2466</v>
      </c>
      <c r="D3" t="s">
        <v>294</v>
      </c>
      <c r="E3" t="s">
        <v>398</v>
      </c>
      <c r="F3" t="s">
        <v>453</v>
      </c>
      <c r="G3">
        <v>2742</v>
      </c>
    </row>
    <row r="4" spans="1:85" x14ac:dyDescent="0.25">
      <c r="A4" t="s">
        <v>32</v>
      </c>
    </row>
    <row r="5" spans="1:85" x14ac:dyDescent="0.25">
      <c r="A5" t="s">
        <v>33</v>
      </c>
      <c r="B5">
        <v>1796</v>
      </c>
      <c r="C5" t="s">
        <v>395</v>
      </c>
      <c r="D5">
        <v>1246</v>
      </c>
      <c r="E5">
        <v>4283</v>
      </c>
      <c r="F5">
        <v>1994</v>
      </c>
      <c r="G5">
        <v>1994</v>
      </c>
      <c r="H5">
        <v>1544</v>
      </c>
      <c r="I5">
        <v>1574</v>
      </c>
    </row>
    <row r="6" spans="1:85" x14ac:dyDescent="0.25">
      <c r="A6" t="s">
        <v>34</v>
      </c>
    </row>
    <row r="7" spans="1:85" x14ac:dyDescent="0.25">
      <c r="A7" t="s">
        <v>35</v>
      </c>
    </row>
    <row r="8" spans="1:85" x14ac:dyDescent="0.25">
      <c r="A8" t="s">
        <v>36</v>
      </c>
      <c r="B8">
        <v>1204</v>
      </c>
      <c r="C8" t="s">
        <v>674</v>
      </c>
    </row>
    <row r="9" spans="1:85" x14ac:dyDescent="0.25">
      <c r="A9" t="s">
        <v>37</v>
      </c>
      <c r="B9" t="s">
        <v>259</v>
      </c>
      <c r="C9" t="s">
        <v>308</v>
      </c>
      <c r="D9">
        <v>3995</v>
      </c>
      <c r="E9" t="s">
        <v>428</v>
      </c>
      <c r="F9">
        <v>4389</v>
      </c>
      <c r="G9">
        <v>4555</v>
      </c>
      <c r="H9" t="s">
        <v>629</v>
      </c>
      <c r="I9">
        <v>5401</v>
      </c>
      <c r="J9" t="s">
        <v>671</v>
      </c>
    </row>
    <row r="10" spans="1:85" x14ac:dyDescent="0.25">
      <c r="A10" t="s">
        <v>38</v>
      </c>
      <c r="B10">
        <v>434</v>
      </c>
      <c r="C10">
        <v>4813</v>
      </c>
      <c r="D10">
        <v>4437</v>
      </c>
      <c r="E10" t="s">
        <v>221</v>
      </c>
      <c r="F10" t="s">
        <v>311</v>
      </c>
      <c r="G10">
        <v>3993</v>
      </c>
      <c r="H10" t="s">
        <v>360</v>
      </c>
      <c r="I10" t="s">
        <v>364</v>
      </c>
      <c r="J10">
        <v>3998</v>
      </c>
      <c r="K10" t="s">
        <v>380</v>
      </c>
      <c r="L10">
        <v>3928</v>
      </c>
      <c r="M10" t="s">
        <v>403</v>
      </c>
      <c r="N10">
        <v>3758</v>
      </c>
      <c r="O10">
        <v>4813</v>
      </c>
      <c r="P10">
        <v>4742</v>
      </c>
      <c r="Q10">
        <v>4772</v>
      </c>
      <c r="R10" t="s">
        <v>536</v>
      </c>
      <c r="S10">
        <v>4772</v>
      </c>
      <c r="T10">
        <v>4872</v>
      </c>
      <c r="U10" t="s">
        <v>561</v>
      </c>
      <c r="V10">
        <v>4114</v>
      </c>
      <c r="W10">
        <v>393</v>
      </c>
      <c r="X10">
        <v>4772</v>
      </c>
      <c r="Y10">
        <v>3993</v>
      </c>
      <c r="Z10">
        <v>3757</v>
      </c>
      <c r="AA10">
        <v>3993</v>
      </c>
      <c r="AB10">
        <v>4953</v>
      </c>
      <c r="AC10">
        <v>3993</v>
      </c>
      <c r="AD10">
        <v>4199</v>
      </c>
      <c r="AE10">
        <v>4056</v>
      </c>
      <c r="AF10">
        <v>4620</v>
      </c>
      <c r="AG10">
        <v>4341</v>
      </c>
      <c r="AH10">
        <v>4773</v>
      </c>
      <c r="AI10">
        <v>4096</v>
      </c>
      <c r="AJ10">
        <v>4760</v>
      </c>
      <c r="AK10">
        <v>3805</v>
      </c>
      <c r="AL10" t="s">
        <v>785</v>
      </c>
    </row>
    <row r="11" spans="1:85" x14ac:dyDescent="0.25">
      <c r="A11" t="s">
        <v>39</v>
      </c>
    </row>
    <row r="12" spans="1:85" x14ac:dyDescent="0.25">
      <c r="A12" t="s">
        <v>40</v>
      </c>
      <c r="B12">
        <v>2483</v>
      </c>
      <c r="C12">
        <v>3072</v>
      </c>
      <c r="D12">
        <v>2211</v>
      </c>
      <c r="E12" s="37">
        <v>2817.2222222222222</v>
      </c>
      <c r="F12" t="s">
        <v>289</v>
      </c>
      <c r="G12">
        <v>2365</v>
      </c>
      <c r="H12">
        <v>2147</v>
      </c>
      <c r="I12" t="s">
        <v>385</v>
      </c>
      <c r="J12">
        <v>2365</v>
      </c>
      <c r="K12">
        <v>2726</v>
      </c>
      <c r="L12">
        <v>2178</v>
      </c>
      <c r="M12">
        <v>2817</v>
      </c>
      <c r="N12">
        <v>2166</v>
      </c>
      <c r="O12" t="s">
        <v>437</v>
      </c>
      <c r="P12" t="s">
        <v>466</v>
      </c>
      <c r="Q12">
        <v>2672</v>
      </c>
      <c r="R12" t="s">
        <v>480</v>
      </c>
      <c r="S12" t="s">
        <v>489</v>
      </c>
      <c r="T12" t="s">
        <v>513</v>
      </c>
      <c r="U12" t="s">
        <v>554</v>
      </c>
      <c r="V12">
        <v>2145</v>
      </c>
      <c r="W12">
        <v>2445</v>
      </c>
      <c r="X12">
        <v>2337</v>
      </c>
      <c r="Y12">
        <v>2961</v>
      </c>
      <c r="Z12">
        <v>2748</v>
      </c>
      <c r="AA12" t="s">
        <v>698</v>
      </c>
      <c r="AB12">
        <v>2235</v>
      </c>
      <c r="AC12" t="s">
        <v>725</v>
      </c>
      <c r="AD12">
        <v>2458</v>
      </c>
      <c r="AE12" t="s">
        <v>301</v>
      </c>
      <c r="AF12">
        <v>2973</v>
      </c>
      <c r="AG12">
        <v>2135</v>
      </c>
      <c r="AH12">
        <v>3060</v>
      </c>
    </row>
    <row r="13" spans="1:85" x14ac:dyDescent="0.25">
      <c r="A13" t="s">
        <v>41</v>
      </c>
      <c r="B13">
        <v>2969</v>
      </c>
      <c r="C13">
        <v>2837</v>
      </c>
    </row>
    <row r="14" spans="1:85" x14ac:dyDescent="0.25">
      <c r="A14" t="s">
        <v>42</v>
      </c>
    </row>
    <row r="15" spans="1:85" x14ac:dyDescent="0.25">
      <c r="A15" t="s">
        <v>43</v>
      </c>
    </row>
    <row r="16" spans="1:85" x14ac:dyDescent="0.25">
      <c r="A16" t="s">
        <v>44</v>
      </c>
    </row>
    <row r="17" spans="1:100" x14ac:dyDescent="0.25">
      <c r="A17" t="s">
        <v>45</v>
      </c>
    </row>
    <row r="18" spans="1:100" x14ac:dyDescent="0.25">
      <c r="A18" t="s">
        <v>46</v>
      </c>
      <c r="B18" t="s">
        <v>230</v>
      </c>
      <c r="C18">
        <v>3419</v>
      </c>
      <c r="D18" t="s">
        <v>318</v>
      </c>
      <c r="E18">
        <v>3600</v>
      </c>
      <c r="F18" s="37">
        <v>4458</v>
      </c>
      <c r="G18" s="37">
        <v>4458</v>
      </c>
      <c r="H18">
        <v>4457</v>
      </c>
      <c r="I18" t="s">
        <v>458</v>
      </c>
      <c r="J18">
        <v>4194</v>
      </c>
      <c r="K18">
        <v>3999</v>
      </c>
      <c r="L18" s="38">
        <v>3963.3076923076924</v>
      </c>
      <c r="M18" t="s">
        <v>533</v>
      </c>
      <c r="N18" t="s">
        <v>546</v>
      </c>
      <c r="O18" t="s">
        <v>570</v>
      </c>
      <c r="P18">
        <v>5987</v>
      </c>
      <c r="Q18">
        <v>3772</v>
      </c>
      <c r="R18">
        <v>5975</v>
      </c>
      <c r="S18">
        <v>3981</v>
      </c>
      <c r="T18">
        <v>3479</v>
      </c>
      <c r="U18" t="s">
        <v>699</v>
      </c>
      <c r="V18" t="s">
        <v>700</v>
      </c>
      <c r="W18" t="s">
        <v>712</v>
      </c>
      <c r="X18">
        <v>4468</v>
      </c>
      <c r="Y18">
        <v>3974</v>
      </c>
      <c r="Z18">
        <v>4191</v>
      </c>
      <c r="AA18">
        <v>3948</v>
      </c>
      <c r="AB18">
        <v>3986</v>
      </c>
      <c r="AC18" t="s">
        <v>773</v>
      </c>
      <c r="AD18" t="s">
        <v>774</v>
      </c>
      <c r="AE18">
        <v>3667</v>
      </c>
      <c r="AF18" t="s">
        <v>782</v>
      </c>
      <c r="AG18">
        <v>3378</v>
      </c>
      <c r="AH18" t="s">
        <v>796</v>
      </c>
    </row>
    <row r="19" spans="1:100" x14ac:dyDescent="0.25">
      <c r="A19" t="s">
        <v>47</v>
      </c>
    </row>
    <row r="20" spans="1:100" x14ac:dyDescent="0.25">
      <c r="A20" t="s">
        <v>48</v>
      </c>
    </row>
    <row r="21" spans="1:100" x14ac:dyDescent="0.25">
      <c r="A21" t="s">
        <v>49</v>
      </c>
      <c r="B21">
        <v>4813</v>
      </c>
    </row>
    <row r="22" spans="1:100" x14ac:dyDescent="0.25">
      <c r="A22" t="s">
        <v>50</v>
      </c>
    </row>
    <row r="23" spans="1:100" x14ac:dyDescent="0.25">
      <c r="A23" t="s">
        <v>51</v>
      </c>
    </row>
    <row r="24" spans="1:100" x14ac:dyDescent="0.25">
      <c r="A24" t="s">
        <v>52</v>
      </c>
      <c r="B24">
        <v>2543</v>
      </c>
      <c r="C24">
        <v>2503</v>
      </c>
      <c r="D24">
        <v>2377</v>
      </c>
      <c r="E24">
        <v>2135</v>
      </c>
      <c r="F24" t="s">
        <v>704</v>
      </c>
      <c r="G24">
        <v>2501</v>
      </c>
      <c r="H24">
        <v>2116</v>
      </c>
      <c r="I24" t="s">
        <v>763</v>
      </c>
      <c r="J24">
        <v>2151</v>
      </c>
      <c r="K24" t="s">
        <v>787</v>
      </c>
    </row>
    <row r="25" spans="1:100" x14ac:dyDescent="0.25">
      <c r="A25" t="s">
        <v>53</v>
      </c>
      <c r="B25">
        <v>2396</v>
      </c>
      <c r="C25">
        <v>2335</v>
      </c>
      <c r="D25">
        <v>2925</v>
      </c>
      <c r="E25">
        <v>3478</v>
      </c>
      <c r="F25" t="s">
        <v>597</v>
      </c>
      <c r="G25">
        <v>2295</v>
      </c>
      <c r="H25">
        <v>2326</v>
      </c>
      <c r="I25">
        <v>2861</v>
      </c>
      <c r="J25">
        <v>2973</v>
      </c>
      <c r="K25">
        <v>3099</v>
      </c>
    </row>
    <row r="26" spans="1:100" x14ac:dyDescent="0.25">
      <c r="A26" t="s">
        <v>54</v>
      </c>
    </row>
    <row r="27" spans="1:100" x14ac:dyDescent="0.25">
      <c r="A27" t="s">
        <v>55</v>
      </c>
      <c r="B27" t="s">
        <v>449</v>
      </c>
      <c r="C27">
        <v>3878</v>
      </c>
      <c r="D27">
        <v>4760</v>
      </c>
      <c r="E27">
        <v>4101</v>
      </c>
      <c r="F27">
        <v>4184</v>
      </c>
    </row>
    <row r="28" spans="1:100" x14ac:dyDescent="0.25">
      <c r="A28" t="s">
        <v>56</v>
      </c>
      <c r="B28">
        <v>4863</v>
      </c>
    </row>
    <row r="29" spans="1:100" x14ac:dyDescent="0.25">
      <c r="A29" t="s">
        <v>57</v>
      </c>
    </row>
    <row r="30" spans="1:100" x14ac:dyDescent="0.25">
      <c r="A30" t="s">
        <v>58</v>
      </c>
      <c r="B30">
        <v>54825</v>
      </c>
      <c r="C30">
        <v>5418</v>
      </c>
      <c r="D30">
        <v>3264</v>
      </c>
      <c r="E30">
        <v>3434</v>
      </c>
      <c r="F30" t="s">
        <v>211</v>
      </c>
      <c r="G30" t="s">
        <v>231</v>
      </c>
      <c r="H30">
        <v>2359</v>
      </c>
      <c r="I30">
        <v>2289</v>
      </c>
      <c r="J30" t="s">
        <v>237</v>
      </c>
      <c r="K30" t="s">
        <v>240</v>
      </c>
      <c r="L30" t="s">
        <v>242</v>
      </c>
      <c r="M30" t="s">
        <v>244</v>
      </c>
      <c r="N30" t="s">
        <v>255</v>
      </c>
      <c r="O30" t="s">
        <v>264</v>
      </c>
      <c r="P30">
        <v>2951</v>
      </c>
      <c r="Q30" t="s">
        <v>275</v>
      </c>
      <c r="R30" t="s">
        <v>281</v>
      </c>
      <c r="S30" t="s">
        <v>282</v>
      </c>
      <c r="T30" t="s">
        <v>290</v>
      </c>
      <c r="U30" t="s">
        <v>297</v>
      </c>
      <c r="V30">
        <v>2540</v>
      </c>
      <c r="W30">
        <v>2177</v>
      </c>
      <c r="X30" t="s">
        <v>317</v>
      </c>
      <c r="Y30" t="s">
        <v>319</v>
      </c>
      <c r="Z30" t="s">
        <v>327</v>
      </c>
      <c r="AA30" t="s">
        <v>329</v>
      </c>
      <c r="AB30" t="s">
        <v>330</v>
      </c>
      <c r="AC30">
        <v>2289</v>
      </c>
      <c r="AD30" t="s">
        <v>341</v>
      </c>
      <c r="AE30">
        <v>3009</v>
      </c>
      <c r="AF30" t="s">
        <v>345</v>
      </c>
      <c r="AG30" t="s">
        <v>366</v>
      </c>
      <c r="AH30" t="s">
        <v>367</v>
      </c>
      <c r="AI30" t="s">
        <v>369</v>
      </c>
      <c r="AJ30">
        <v>2960</v>
      </c>
      <c r="AK30" t="s">
        <v>377</v>
      </c>
      <c r="AL30" t="s">
        <v>381</v>
      </c>
      <c r="AM30">
        <v>3210</v>
      </c>
      <c r="AN30" t="s">
        <v>392</v>
      </c>
      <c r="AO30" t="s">
        <v>396</v>
      </c>
      <c r="AP30" t="s">
        <v>399</v>
      </c>
      <c r="AQ30">
        <v>3246</v>
      </c>
      <c r="AR30" t="s">
        <v>411</v>
      </c>
      <c r="AS30">
        <v>3047</v>
      </c>
      <c r="AT30" t="s">
        <v>416</v>
      </c>
      <c r="AU30" t="s">
        <v>417</v>
      </c>
      <c r="AV30">
        <v>2285</v>
      </c>
      <c r="AW30" t="s">
        <v>432</v>
      </c>
      <c r="AX30" t="s">
        <v>447</v>
      </c>
      <c r="AY30" t="s">
        <v>459</v>
      </c>
      <c r="AZ30" t="s">
        <v>467</v>
      </c>
      <c r="BA30" t="s">
        <v>470</v>
      </c>
      <c r="BB30">
        <v>2281</v>
      </c>
      <c r="BC30" t="s">
        <v>481</v>
      </c>
      <c r="BD30" t="s">
        <v>486</v>
      </c>
      <c r="BE30" t="s">
        <v>500</v>
      </c>
      <c r="BF30" t="s">
        <v>508</v>
      </c>
      <c r="BG30" t="s">
        <v>511</v>
      </c>
      <c r="BH30" t="s">
        <v>512</v>
      </c>
      <c r="BI30" t="s">
        <v>526</v>
      </c>
      <c r="BJ30" t="s">
        <v>531</v>
      </c>
      <c r="BK30" t="s">
        <v>556</v>
      </c>
      <c r="BL30" t="s">
        <v>599</v>
      </c>
      <c r="BM30" t="s">
        <v>607</v>
      </c>
      <c r="BN30" t="s">
        <v>609</v>
      </c>
      <c r="BO30">
        <v>2815</v>
      </c>
      <c r="BP30" t="s">
        <v>610</v>
      </c>
      <c r="BQ30" t="s">
        <v>612</v>
      </c>
      <c r="BR30">
        <v>3284</v>
      </c>
      <c r="BS30">
        <v>2752</v>
      </c>
      <c r="BT30">
        <v>2379</v>
      </c>
      <c r="BU30" t="s">
        <v>637</v>
      </c>
      <c r="BV30" t="s">
        <v>644</v>
      </c>
      <c r="BW30">
        <v>3465</v>
      </c>
      <c r="BX30">
        <v>2117</v>
      </c>
      <c r="BY30">
        <v>2241</v>
      </c>
      <c r="BZ30" t="s">
        <v>660</v>
      </c>
      <c r="CA30">
        <v>2942</v>
      </c>
      <c r="CB30">
        <v>2434</v>
      </c>
      <c r="CC30" t="s">
        <v>682</v>
      </c>
      <c r="CD30">
        <v>2186</v>
      </c>
      <c r="CE30">
        <v>2496</v>
      </c>
      <c r="CF30">
        <v>2899</v>
      </c>
      <c r="CG30">
        <v>3036</v>
      </c>
      <c r="CH30" t="s">
        <v>731</v>
      </c>
      <c r="CI30" t="s">
        <v>743</v>
      </c>
      <c r="CJ30">
        <v>3207</v>
      </c>
      <c r="CK30">
        <v>2367</v>
      </c>
      <c r="CL30">
        <v>3278</v>
      </c>
      <c r="CM30">
        <v>2477</v>
      </c>
      <c r="CN30">
        <v>3496</v>
      </c>
      <c r="CO30" t="s">
        <v>753</v>
      </c>
      <c r="CP30" t="s">
        <v>754</v>
      </c>
      <c r="CQ30">
        <v>2865</v>
      </c>
      <c r="CR30">
        <v>2415</v>
      </c>
      <c r="CS30">
        <v>4168</v>
      </c>
      <c r="CT30">
        <v>2370</v>
      </c>
      <c r="CU30">
        <v>2276</v>
      </c>
      <c r="CV30" t="s">
        <v>781</v>
      </c>
    </row>
    <row r="31" spans="1:100" x14ac:dyDescent="0.25">
      <c r="A31" t="s">
        <v>59</v>
      </c>
    </row>
    <row r="32" spans="1:100" x14ac:dyDescent="0.25">
      <c r="A32" t="s">
        <v>60</v>
      </c>
      <c r="B32">
        <v>4635</v>
      </c>
    </row>
    <row r="33" spans="1:19" x14ac:dyDescent="0.25">
      <c r="A33" t="s">
        <v>61</v>
      </c>
    </row>
    <row r="34" spans="1:19" x14ac:dyDescent="0.25">
      <c r="A34" t="s">
        <v>62</v>
      </c>
    </row>
    <row r="35" spans="1:19" x14ac:dyDescent="0.25">
      <c r="A35" t="s">
        <v>63</v>
      </c>
    </row>
    <row r="36" spans="1:19" x14ac:dyDescent="0.25">
      <c r="A36" t="s">
        <v>64</v>
      </c>
      <c r="B36">
        <v>3355</v>
      </c>
      <c r="C36">
        <v>3339</v>
      </c>
      <c r="D36" t="s">
        <v>567</v>
      </c>
      <c r="E36">
        <v>3335</v>
      </c>
    </row>
    <row r="37" spans="1:19" x14ac:dyDescent="0.25">
      <c r="A37" t="s">
        <v>65</v>
      </c>
      <c r="B37" t="s">
        <v>278</v>
      </c>
      <c r="C37">
        <v>1855</v>
      </c>
      <c r="D37">
        <v>1850</v>
      </c>
    </row>
    <row r="38" spans="1:19" x14ac:dyDescent="0.25">
      <c r="A38" t="s">
        <v>66</v>
      </c>
      <c r="B38" t="s">
        <v>212</v>
      </c>
      <c r="C38">
        <v>4114</v>
      </c>
      <c r="D38" t="s">
        <v>284</v>
      </c>
      <c r="E38">
        <v>4193</v>
      </c>
      <c r="F38">
        <v>4052</v>
      </c>
      <c r="G38" t="s">
        <v>543</v>
      </c>
      <c r="H38">
        <v>4191</v>
      </c>
    </row>
    <row r="39" spans="1:19" x14ac:dyDescent="0.25">
      <c r="A39" t="s">
        <v>67</v>
      </c>
      <c r="B39" t="s">
        <v>313</v>
      </c>
      <c r="C39" t="s">
        <v>496</v>
      </c>
      <c r="D39">
        <v>1370</v>
      </c>
      <c r="E39">
        <v>1960</v>
      </c>
      <c r="F39">
        <v>1918</v>
      </c>
      <c r="G39" t="s">
        <v>643</v>
      </c>
      <c r="H39">
        <v>1364</v>
      </c>
    </row>
    <row r="40" spans="1:19" x14ac:dyDescent="0.25">
      <c r="A40" t="s">
        <v>68</v>
      </c>
      <c r="B40">
        <v>2982</v>
      </c>
      <c r="C40">
        <v>2982</v>
      </c>
      <c r="D40">
        <v>3196</v>
      </c>
      <c r="E40">
        <v>3196</v>
      </c>
      <c r="F40">
        <v>2982</v>
      </c>
      <c r="G40" t="s">
        <v>670</v>
      </c>
    </row>
    <row r="41" spans="1:19" x14ac:dyDescent="0.25">
      <c r="A41" t="s">
        <v>69</v>
      </c>
    </row>
    <row r="42" spans="1:19" x14ac:dyDescent="0.25">
      <c r="A42" t="s">
        <v>70</v>
      </c>
    </row>
    <row r="43" spans="1:19" x14ac:dyDescent="0.25">
      <c r="A43" t="s">
        <v>71</v>
      </c>
    </row>
    <row r="44" spans="1:19" x14ac:dyDescent="0.25">
      <c r="A44" t="s">
        <v>72</v>
      </c>
      <c r="B44" t="s">
        <v>234</v>
      </c>
      <c r="C44" t="s">
        <v>256</v>
      </c>
      <c r="D44">
        <v>3868</v>
      </c>
      <c r="E44">
        <v>3965</v>
      </c>
      <c r="F44" t="s">
        <v>358</v>
      </c>
      <c r="G44">
        <v>3691</v>
      </c>
      <c r="H44" t="s">
        <v>422</v>
      </c>
      <c r="I44" t="s">
        <v>505</v>
      </c>
      <c r="J44">
        <v>3668</v>
      </c>
      <c r="K44">
        <v>4530</v>
      </c>
      <c r="L44">
        <v>3756</v>
      </c>
      <c r="M44">
        <v>4570</v>
      </c>
      <c r="N44">
        <v>3965</v>
      </c>
      <c r="O44">
        <v>4144</v>
      </c>
      <c r="P44">
        <v>4238</v>
      </c>
      <c r="Q44">
        <v>4368</v>
      </c>
      <c r="R44">
        <v>3868</v>
      </c>
      <c r="S44">
        <v>4116</v>
      </c>
    </row>
    <row r="45" spans="1:19" x14ac:dyDescent="0.25">
      <c r="A45" t="s">
        <v>73</v>
      </c>
      <c r="B45">
        <v>54825</v>
      </c>
      <c r="C45" t="s">
        <v>448</v>
      </c>
      <c r="D45">
        <v>1635</v>
      </c>
      <c r="E45">
        <v>1769</v>
      </c>
      <c r="F45">
        <v>1465</v>
      </c>
      <c r="G45">
        <v>2130</v>
      </c>
    </row>
    <row r="46" spans="1:19" x14ac:dyDescent="0.25">
      <c r="A46" t="s">
        <v>74</v>
      </c>
      <c r="B46">
        <v>1443</v>
      </c>
    </row>
    <row r="47" spans="1:19" x14ac:dyDescent="0.25">
      <c r="A47" t="s">
        <v>75</v>
      </c>
      <c r="B47">
        <v>1438</v>
      </c>
    </row>
    <row r="48" spans="1:19" x14ac:dyDescent="0.25">
      <c r="A48" t="s">
        <v>76</v>
      </c>
      <c r="B48">
        <v>2167</v>
      </c>
      <c r="C48">
        <v>1914</v>
      </c>
      <c r="D48">
        <v>1523</v>
      </c>
    </row>
    <row r="49" spans="1:88" x14ac:dyDescent="0.25">
      <c r="A49" t="s">
        <v>77</v>
      </c>
    </row>
    <row r="50" spans="1:88" x14ac:dyDescent="0.25">
      <c r="A50" t="s">
        <v>78</v>
      </c>
    </row>
    <row r="51" spans="1:88" x14ac:dyDescent="0.25">
      <c r="A51" t="s">
        <v>79</v>
      </c>
      <c r="B51" t="s">
        <v>353</v>
      </c>
      <c r="C51" t="s">
        <v>375</v>
      </c>
      <c r="D51">
        <v>4540</v>
      </c>
    </row>
    <row r="52" spans="1:88" x14ac:dyDescent="0.25">
      <c r="A52" t="s">
        <v>80</v>
      </c>
    </row>
    <row r="53" spans="1:88" x14ac:dyDescent="0.25">
      <c r="A53" t="s">
        <v>81</v>
      </c>
      <c r="B53">
        <v>4343</v>
      </c>
      <c r="C53">
        <v>4198</v>
      </c>
      <c r="D53">
        <v>4202</v>
      </c>
      <c r="E53">
        <v>4362</v>
      </c>
      <c r="F53">
        <v>4162</v>
      </c>
      <c r="G53" t="s">
        <v>249</v>
      </c>
      <c r="H53">
        <v>4057</v>
      </c>
      <c r="I53">
        <v>4727</v>
      </c>
      <c r="J53">
        <v>4202</v>
      </c>
      <c r="K53" t="s">
        <v>280</v>
      </c>
      <c r="L53">
        <v>4411</v>
      </c>
      <c r="M53">
        <v>3831</v>
      </c>
      <c r="N53" t="s">
        <v>304</v>
      </c>
      <c r="O53" t="s">
        <v>316</v>
      </c>
      <c r="P53">
        <v>4162</v>
      </c>
      <c r="Q53" t="s">
        <v>328</v>
      </c>
      <c r="R53">
        <v>5410</v>
      </c>
      <c r="S53" t="s">
        <v>357</v>
      </c>
      <c r="T53" t="s">
        <v>370</v>
      </c>
      <c r="U53">
        <v>3674</v>
      </c>
      <c r="V53">
        <v>4274</v>
      </c>
      <c r="W53">
        <v>4261</v>
      </c>
      <c r="X53">
        <v>4237</v>
      </c>
      <c r="Y53" t="s">
        <v>431</v>
      </c>
      <c r="Z53" t="s">
        <v>451</v>
      </c>
      <c r="AA53">
        <v>4398</v>
      </c>
      <c r="AB53">
        <v>4362</v>
      </c>
      <c r="AC53">
        <v>4365</v>
      </c>
      <c r="AD53" t="s">
        <v>482</v>
      </c>
      <c r="AE53" t="s">
        <v>494</v>
      </c>
      <c r="AF53">
        <v>4237</v>
      </c>
      <c r="AG53">
        <v>3770</v>
      </c>
      <c r="AH53">
        <v>4220</v>
      </c>
      <c r="AI53" t="s">
        <v>515</v>
      </c>
      <c r="AJ53" t="s">
        <v>527</v>
      </c>
      <c r="AK53" t="s">
        <v>528</v>
      </c>
      <c r="AL53">
        <v>4162</v>
      </c>
      <c r="AM53">
        <v>3616</v>
      </c>
      <c r="AN53" t="s">
        <v>539</v>
      </c>
      <c r="AO53">
        <v>4427</v>
      </c>
      <c r="AP53">
        <v>4411</v>
      </c>
      <c r="AQ53">
        <v>3823</v>
      </c>
      <c r="AR53">
        <v>4362</v>
      </c>
      <c r="AS53">
        <v>2366</v>
      </c>
      <c r="AT53" t="s">
        <v>589</v>
      </c>
      <c r="AU53">
        <v>4180</v>
      </c>
      <c r="AV53" t="s">
        <v>593</v>
      </c>
      <c r="AW53">
        <v>4427</v>
      </c>
      <c r="AX53">
        <v>4168</v>
      </c>
      <c r="AY53">
        <v>4398</v>
      </c>
      <c r="AZ53">
        <v>4168</v>
      </c>
      <c r="BA53">
        <v>4362</v>
      </c>
      <c r="BB53">
        <v>4427</v>
      </c>
      <c r="BC53">
        <v>3665</v>
      </c>
      <c r="BD53">
        <v>4398</v>
      </c>
      <c r="BE53">
        <v>4220</v>
      </c>
      <c r="BF53">
        <v>4671</v>
      </c>
      <c r="BG53">
        <v>3674</v>
      </c>
      <c r="BH53">
        <v>4261</v>
      </c>
      <c r="BI53">
        <v>4362</v>
      </c>
      <c r="BJ53">
        <v>4528</v>
      </c>
      <c r="BK53">
        <v>4411</v>
      </c>
      <c r="BL53">
        <v>3674</v>
      </c>
      <c r="BM53">
        <v>3674</v>
      </c>
      <c r="BN53">
        <v>4209</v>
      </c>
      <c r="BO53">
        <v>3718</v>
      </c>
      <c r="BP53" t="s">
        <v>668</v>
      </c>
      <c r="BQ53">
        <v>3674</v>
      </c>
      <c r="BR53" t="s">
        <v>688</v>
      </c>
      <c r="BS53">
        <v>4362</v>
      </c>
      <c r="BT53" t="s">
        <v>706</v>
      </c>
      <c r="BU53">
        <v>4263</v>
      </c>
      <c r="BV53">
        <v>4528</v>
      </c>
      <c r="BW53">
        <v>4369</v>
      </c>
      <c r="BX53">
        <v>3929</v>
      </c>
      <c r="BY53">
        <v>4528</v>
      </c>
      <c r="BZ53">
        <v>3746</v>
      </c>
      <c r="CA53">
        <v>4712</v>
      </c>
      <c r="CB53">
        <v>4195</v>
      </c>
      <c r="CC53">
        <v>3719</v>
      </c>
      <c r="CD53" t="s">
        <v>706</v>
      </c>
      <c r="CE53">
        <v>3911</v>
      </c>
      <c r="CF53">
        <v>4086</v>
      </c>
      <c r="CG53">
        <v>4123</v>
      </c>
      <c r="CH53">
        <v>3587</v>
      </c>
      <c r="CI53">
        <v>4549</v>
      </c>
      <c r="CJ53" t="s">
        <v>784</v>
      </c>
    </row>
    <row r="54" spans="1:88" x14ac:dyDescent="0.25">
      <c r="A54" t="s">
        <v>82</v>
      </c>
      <c r="B54">
        <v>2293</v>
      </c>
      <c r="C54">
        <v>2251</v>
      </c>
      <c r="D54">
        <v>2739</v>
      </c>
      <c r="E54">
        <v>3760</v>
      </c>
      <c r="F54">
        <v>2306</v>
      </c>
      <c r="G54">
        <v>3045</v>
      </c>
      <c r="H54" t="s">
        <v>675</v>
      </c>
      <c r="I54">
        <v>2424</v>
      </c>
      <c r="J54">
        <v>2231</v>
      </c>
      <c r="K54">
        <v>2642</v>
      </c>
    </row>
    <row r="55" spans="1:88" x14ac:dyDescent="0.25">
      <c r="A55" t="s">
        <v>83</v>
      </c>
    </row>
    <row r="56" spans="1:88" x14ac:dyDescent="0.25">
      <c r="A56" t="s">
        <v>84</v>
      </c>
      <c r="B56">
        <v>1537</v>
      </c>
      <c r="C56">
        <v>2675</v>
      </c>
      <c r="D56">
        <v>2065</v>
      </c>
      <c r="E56">
        <v>3772</v>
      </c>
      <c r="F56">
        <v>1537</v>
      </c>
      <c r="G56" t="s">
        <v>457</v>
      </c>
      <c r="H56" t="s">
        <v>468</v>
      </c>
      <c r="I56">
        <v>1973</v>
      </c>
      <c r="J56">
        <v>1973</v>
      </c>
      <c r="K56">
        <v>1670</v>
      </c>
      <c r="L56">
        <v>1823</v>
      </c>
    </row>
    <row r="57" spans="1:88" x14ac:dyDescent="0.25">
      <c r="A57" t="s">
        <v>85</v>
      </c>
    </row>
    <row r="58" spans="1:88" x14ac:dyDescent="0.25">
      <c r="A58" t="s">
        <v>86</v>
      </c>
    </row>
    <row r="59" spans="1:88" x14ac:dyDescent="0.25">
      <c r="A59" t="s">
        <v>87</v>
      </c>
    </row>
    <row r="60" spans="1:88" x14ac:dyDescent="0.25">
      <c r="A60" t="s">
        <v>88</v>
      </c>
    </row>
    <row r="61" spans="1:88" x14ac:dyDescent="0.25">
      <c r="A61" t="s">
        <v>89</v>
      </c>
      <c r="B61" t="s">
        <v>517</v>
      </c>
    </row>
    <row r="62" spans="1:88" x14ac:dyDescent="0.25">
      <c r="A62" t="s">
        <v>90</v>
      </c>
    </row>
    <row r="63" spans="1:88" x14ac:dyDescent="0.25">
      <c r="A63" t="s">
        <v>91</v>
      </c>
      <c r="B63">
        <v>3616</v>
      </c>
      <c r="C63">
        <v>4687</v>
      </c>
      <c r="D63">
        <v>3957</v>
      </c>
      <c r="E63">
        <v>3616</v>
      </c>
      <c r="F63">
        <v>3616</v>
      </c>
      <c r="G63" t="s">
        <v>397</v>
      </c>
      <c r="H63" t="s">
        <v>499</v>
      </c>
      <c r="I63" t="s">
        <v>509</v>
      </c>
      <c r="J63">
        <v>3616</v>
      </c>
      <c r="K63">
        <v>3616</v>
      </c>
      <c r="L63">
        <v>4236</v>
      </c>
      <c r="M63">
        <v>3616</v>
      </c>
      <c r="N63">
        <v>3616</v>
      </c>
      <c r="O63">
        <v>4740</v>
      </c>
      <c r="P63">
        <v>3616</v>
      </c>
      <c r="Q63">
        <v>3615</v>
      </c>
    </row>
    <row r="64" spans="1:88" x14ac:dyDescent="0.25">
      <c r="A64" t="s">
        <v>92</v>
      </c>
    </row>
    <row r="65" spans="1:18" x14ac:dyDescent="0.25">
      <c r="A65" t="s">
        <v>93</v>
      </c>
      <c r="B65">
        <v>3395</v>
      </c>
      <c r="C65">
        <v>3033</v>
      </c>
      <c r="D65">
        <v>3378</v>
      </c>
    </row>
    <row r="66" spans="1:18" x14ac:dyDescent="0.25">
      <c r="A66" t="s">
        <v>94</v>
      </c>
    </row>
    <row r="67" spans="1:18" x14ac:dyDescent="0.25">
      <c r="A67" t="s">
        <v>95</v>
      </c>
    </row>
    <row r="68" spans="1:18" x14ac:dyDescent="0.25">
      <c r="A68" t="s">
        <v>96</v>
      </c>
    </row>
    <row r="69" spans="1:18" x14ac:dyDescent="0.25">
      <c r="A69" t="s">
        <v>97</v>
      </c>
      <c r="B69">
        <v>4112</v>
      </c>
      <c r="C69" t="s">
        <v>241</v>
      </c>
      <c r="D69" t="s">
        <v>254</v>
      </c>
      <c r="E69" t="s">
        <v>266</v>
      </c>
      <c r="F69" t="s">
        <v>267</v>
      </c>
      <c r="G69" t="s">
        <v>343</v>
      </c>
      <c r="H69" t="s">
        <v>352</v>
      </c>
      <c r="I69" t="s">
        <v>356</v>
      </c>
      <c r="J69" t="s">
        <v>361</v>
      </c>
      <c r="K69" t="s">
        <v>365</v>
      </c>
      <c r="L69" t="s">
        <v>591</v>
      </c>
      <c r="M69">
        <v>4193</v>
      </c>
      <c r="N69">
        <v>4175</v>
      </c>
      <c r="O69">
        <v>4870</v>
      </c>
      <c r="P69" s="38">
        <v>4463.25</v>
      </c>
      <c r="Q69">
        <v>4401</v>
      </c>
      <c r="R69" t="s">
        <v>794</v>
      </c>
    </row>
    <row r="70" spans="1:18" x14ac:dyDescent="0.25">
      <c r="A70" t="s">
        <v>98</v>
      </c>
      <c r="B70">
        <v>5787</v>
      </c>
      <c r="C70">
        <v>5787</v>
      </c>
      <c r="D70">
        <v>5787</v>
      </c>
    </row>
    <row r="71" spans="1:18" x14ac:dyDescent="0.25">
      <c r="A71" t="s">
        <v>99</v>
      </c>
    </row>
    <row r="72" spans="1:18" x14ac:dyDescent="0.25">
      <c r="A72" t="s">
        <v>100</v>
      </c>
    </row>
    <row r="73" spans="1:18" x14ac:dyDescent="0.25">
      <c r="A73" t="s">
        <v>101</v>
      </c>
    </row>
    <row r="74" spans="1:18" x14ac:dyDescent="0.25">
      <c r="A74" t="s">
        <v>102</v>
      </c>
      <c r="B74">
        <v>2540</v>
      </c>
      <c r="C74">
        <v>214</v>
      </c>
    </row>
    <row r="75" spans="1:18" x14ac:dyDescent="0.25">
      <c r="A75" t="s">
        <v>103</v>
      </c>
    </row>
    <row r="76" spans="1:18" x14ac:dyDescent="0.25">
      <c r="A76" t="s">
        <v>104</v>
      </c>
    </row>
    <row r="77" spans="1:18" x14ac:dyDescent="0.25">
      <c r="A77" t="s">
        <v>105</v>
      </c>
      <c r="B77">
        <v>5482</v>
      </c>
      <c r="C77">
        <v>5490</v>
      </c>
    </row>
    <row r="78" spans="1:18" x14ac:dyDescent="0.25">
      <c r="A78" t="s">
        <v>106</v>
      </c>
    </row>
    <row r="79" spans="1:18" x14ac:dyDescent="0.25">
      <c r="A79" t="s">
        <v>107</v>
      </c>
      <c r="B79" t="s">
        <v>229</v>
      </c>
      <c r="C79" t="s">
        <v>253</v>
      </c>
      <c r="D79" t="s">
        <v>384</v>
      </c>
      <c r="E79">
        <v>5052</v>
      </c>
      <c r="F79" t="s">
        <v>586</v>
      </c>
      <c r="G79">
        <v>5130</v>
      </c>
    </row>
    <row r="80" spans="1:18" x14ac:dyDescent="0.25">
      <c r="A80" t="s">
        <v>108</v>
      </c>
    </row>
    <row r="81" spans="1:75" x14ac:dyDescent="0.25">
      <c r="A81" t="s">
        <v>109</v>
      </c>
    </row>
    <row r="82" spans="1:75" x14ac:dyDescent="0.25">
      <c r="A82" t="s">
        <v>110</v>
      </c>
    </row>
    <row r="83" spans="1:75" x14ac:dyDescent="0.25">
      <c r="A83" t="s">
        <v>111</v>
      </c>
      <c r="B83">
        <v>2623</v>
      </c>
    </row>
    <row r="84" spans="1:75" x14ac:dyDescent="0.25">
      <c r="A84" t="s">
        <v>112</v>
      </c>
    </row>
    <row r="85" spans="1:75" x14ac:dyDescent="0.25">
      <c r="A85" t="s">
        <v>113</v>
      </c>
    </row>
    <row r="86" spans="1:75" x14ac:dyDescent="0.25">
      <c r="A86" t="s">
        <v>114</v>
      </c>
    </row>
    <row r="87" spans="1:75" x14ac:dyDescent="0.25">
      <c r="A87" t="s">
        <v>115</v>
      </c>
    </row>
    <row r="88" spans="1:75" x14ac:dyDescent="0.25">
      <c r="A88" t="s">
        <v>116</v>
      </c>
      <c r="B88" t="s">
        <v>247</v>
      </c>
      <c r="C88">
        <v>4033</v>
      </c>
      <c r="D88">
        <v>4007</v>
      </c>
      <c r="E88">
        <v>3856</v>
      </c>
      <c r="F88">
        <v>4179</v>
      </c>
    </row>
    <row r="89" spans="1:75" x14ac:dyDescent="0.25">
      <c r="A89" t="s">
        <v>117</v>
      </c>
      <c r="B89" t="s">
        <v>232</v>
      </c>
      <c r="C89" t="s">
        <v>274</v>
      </c>
      <c r="D89">
        <v>2569</v>
      </c>
      <c r="E89">
        <v>2552</v>
      </c>
      <c r="F89">
        <v>2289</v>
      </c>
      <c r="G89">
        <v>2466</v>
      </c>
      <c r="H89">
        <v>2429</v>
      </c>
      <c r="I89">
        <v>2248</v>
      </c>
      <c r="J89">
        <v>2717</v>
      </c>
      <c r="K89">
        <v>2798</v>
      </c>
      <c r="L89">
        <v>2492</v>
      </c>
      <c r="M89">
        <v>2330</v>
      </c>
      <c r="N89">
        <v>2798</v>
      </c>
      <c r="O89">
        <v>2194</v>
      </c>
      <c r="P89">
        <v>2114</v>
      </c>
      <c r="Q89">
        <v>3466</v>
      </c>
      <c r="R89">
        <v>2340</v>
      </c>
      <c r="S89" t="s">
        <v>792</v>
      </c>
      <c r="T89">
        <v>2149</v>
      </c>
    </row>
    <row r="90" spans="1:75" x14ac:dyDescent="0.25">
      <c r="A90" t="s">
        <v>118</v>
      </c>
      <c r="B90" t="s">
        <v>378</v>
      </c>
      <c r="C90">
        <v>5783</v>
      </c>
      <c r="D90" t="s">
        <v>580</v>
      </c>
      <c r="E90">
        <v>5885</v>
      </c>
    </row>
    <row r="91" spans="1:75" x14ac:dyDescent="0.25">
      <c r="A91" t="s">
        <v>119</v>
      </c>
      <c r="B91">
        <v>2331</v>
      </c>
      <c r="C91">
        <v>2272</v>
      </c>
      <c r="D91">
        <v>2951</v>
      </c>
      <c r="E91">
        <v>2980</v>
      </c>
      <c r="F91" t="s">
        <v>306</v>
      </c>
      <c r="G91" t="s">
        <v>354</v>
      </c>
      <c r="H91" t="s">
        <v>355</v>
      </c>
      <c r="I91" t="s">
        <v>376</v>
      </c>
      <c r="J91" t="s">
        <v>379</v>
      </c>
      <c r="K91" t="s">
        <v>401</v>
      </c>
      <c r="L91">
        <v>3207</v>
      </c>
      <c r="M91" t="s">
        <v>415</v>
      </c>
      <c r="N91" t="s">
        <v>455</v>
      </c>
      <c r="O91" t="s">
        <v>461</v>
      </c>
      <c r="P91" t="s">
        <v>469</v>
      </c>
      <c r="Q91" t="s">
        <v>472</v>
      </c>
      <c r="R91" t="s">
        <v>483</v>
      </c>
      <c r="S91">
        <v>3702</v>
      </c>
      <c r="T91">
        <v>2420</v>
      </c>
      <c r="U91" t="s">
        <v>523</v>
      </c>
      <c r="V91">
        <v>2614</v>
      </c>
      <c r="W91" t="s">
        <v>557</v>
      </c>
      <c r="X91">
        <v>2562</v>
      </c>
      <c r="Y91" t="s">
        <v>566</v>
      </c>
      <c r="Z91">
        <v>2415</v>
      </c>
      <c r="AA91">
        <v>3375</v>
      </c>
      <c r="AB91">
        <v>3165</v>
      </c>
      <c r="AC91">
        <v>3367</v>
      </c>
      <c r="AD91" t="s">
        <v>669</v>
      </c>
      <c r="AE91">
        <v>3134</v>
      </c>
    </row>
    <row r="92" spans="1:75" x14ac:dyDescent="0.25">
      <c r="A92" t="s">
        <v>120</v>
      </c>
    </row>
    <row r="93" spans="1:75" x14ac:dyDescent="0.25">
      <c r="A93" t="s">
        <v>121</v>
      </c>
      <c r="B93" t="s">
        <v>335</v>
      </c>
      <c r="C93">
        <v>3148</v>
      </c>
      <c r="D93">
        <v>3148</v>
      </c>
      <c r="E93">
        <v>3148</v>
      </c>
      <c r="F93" t="s">
        <v>595</v>
      </c>
      <c r="G93">
        <v>3214</v>
      </c>
      <c r="H93">
        <v>2944</v>
      </c>
      <c r="I93">
        <v>2944</v>
      </c>
      <c r="J93">
        <v>3148</v>
      </c>
      <c r="K93">
        <v>2977</v>
      </c>
      <c r="L93" t="s">
        <v>777</v>
      </c>
    </row>
    <row r="94" spans="1:75" x14ac:dyDescent="0.25">
      <c r="A94" t="s">
        <v>122</v>
      </c>
      <c r="B94">
        <v>4089</v>
      </c>
      <c r="C94">
        <v>4095</v>
      </c>
      <c r="D94">
        <v>4421</v>
      </c>
      <c r="E94" t="s">
        <v>220</v>
      </c>
      <c r="F94" t="s">
        <v>238</v>
      </c>
      <c r="G94" t="s">
        <v>239</v>
      </c>
      <c r="H94" t="s">
        <v>252</v>
      </c>
      <c r="I94">
        <v>3886</v>
      </c>
      <c r="J94">
        <v>3915</v>
      </c>
      <c r="K94" t="s">
        <v>268</v>
      </c>
      <c r="L94">
        <v>3858</v>
      </c>
      <c r="M94" t="s">
        <v>386</v>
      </c>
      <c r="N94">
        <v>4883</v>
      </c>
      <c r="O94" t="s">
        <v>429</v>
      </c>
      <c r="P94" t="s">
        <v>438</v>
      </c>
      <c r="Q94">
        <v>4885</v>
      </c>
      <c r="R94">
        <v>3915</v>
      </c>
      <c r="S94">
        <v>3965</v>
      </c>
      <c r="T94">
        <v>4208</v>
      </c>
      <c r="U94">
        <v>4208</v>
      </c>
      <c r="V94">
        <v>4201</v>
      </c>
      <c r="W94" t="s">
        <v>439</v>
      </c>
      <c r="X94">
        <v>3915</v>
      </c>
      <c r="Y94">
        <v>4642</v>
      </c>
      <c r="Z94" t="s">
        <v>548</v>
      </c>
      <c r="AA94">
        <v>4642</v>
      </c>
      <c r="AB94">
        <v>4322</v>
      </c>
      <c r="AC94">
        <v>4642</v>
      </c>
      <c r="AD94">
        <v>3980</v>
      </c>
      <c r="AE94">
        <v>4095</v>
      </c>
      <c r="AF94">
        <v>4886</v>
      </c>
      <c r="AG94">
        <v>4642</v>
      </c>
      <c r="AH94">
        <v>4883</v>
      </c>
      <c r="AI94">
        <v>3896</v>
      </c>
      <c r="AJ94">
        <v>3886</v>
      </c>
      <c r="AK94">
        <v>46412</v>
      </c>
      <c r="AL94">
        <v>3915</v>
      </c>
      <c r="AM94">
        <v>4883</v>
      </c>
      <c r="AN94" t="s">
        <v>634</v>
      </c>
      <c r="AO94">
        <v>4208</v>
      </c>
      <c r="AP94" t="s">
        <v>638</v>
      </c>
      <c r="AQ94">
        <v>3148</v>
      </c>
      <c r="AR94">
        <v>4883</v>
      </c>
      <c r="AS94">
        <v>4090</v>
      </c>
      <c r="AT94">
        <v>4275</v>
      </c>
      <c r="AU94">
        <v>4208</v>
      </c>
      <c r="AV94">
        <v>4208</v>
      </c>
      <c r="AW94">
        <v>4255</v>
      </c>
      <c r="AX94">
        <v>4883</v>
      </c>
      <c r="AY94">
        <v>4090</v>
      </c>
      <c r="AZ94">
        <v>2925</v>
      </c>
      <c r="BA94" t="s">
        <v>657</v>
      </c>
      <c r="BB94">
        <v>3980</v>
      </c>
      <c r="BC94">
        <v>4089</v>
      </c>
      <c r="BD94" t="s">
        <v>665</v>
      </c>
      <c r="BE94" t="s">
        <v>666</v>
      </c>
      <c r="BF94">
        <v>3915</v>
      </c>
      <c r="BG94">
        <v>4090</v>
      </c>
      <c r="BH94">
        <v>4883</v>
      </c>
      <c r="BI94">
        <v>4031</v>
      </c>
      <c r="BJ94">
        <v>3808</v>
      </c>
      <c r="BK94">
        <v>4246</v>
      </c>
      <c r="BL94">
        <v>3915</v>
      </c>
      <c r="BM94">
        <v>3915</v>
      </c>
      <c r="BN94">
        <v>3875</v>
      </c>
      <c r="BO94">
        <v>3915</v>
      </c>
      <c r="BP94" t="s">
        <v>732</v>
      </c>
      <c r="BQ94">
        <v>4846</v>
      </c>
      <c r="BR94">
        <v>3776</v>
      </c>
      <c r="BS94">
        <v>3915</v>
      </c>
      <c r="BT94">
        <v>3842</v>
      </c>
      <c r="BU94">
        <v>3992</v>
      </c>
      <c r="BV94">
        <v>4263</v>
      </c>
      <c r="BW94">
        <v>4671</v>
      </c>
    </row>
    <row r="95" spans="1:75" x14ac:dyDescent="0.25">
      <c r="A95" t="s">
        <v>123</v>
      </c>
    </row>
    <row r="96" spans="1:75" x14ac:dyDescent="0.25">
      <c r="A96" t="s">
        <v>124</v>
      </c>
      <c r="B96">
        <v>3278</v>
      </c>
    </row>
    <row r="97" spans="1:41" x14ac:dyDescent="0.25">
      <c r="A97" t="s">
        <v>125</v>
      </c>
      <c r="B97" t="s">
        <v>243</v>
      </c>
      <c r="C97">
        <v>2590</v>
      </c>
      <c r="D97" t="s">
        <v>309</v>
      </c>
      <c r="E97">
        <v>2545</v>
      </c>
      <c r="F97" t="s">
        <v>456</v>
      </c>
      <c r="G97">
        <v>2654</v>
      </c>
      <c r="H97" t="s">
        <v>463</v>
      </c>
      <c r="I97">
        <v>2590</v>
      </c>
      <c r="J97" t="s">
        <v>487</v>
      </c>
      <c r="K97">
        <v>3939</v>
      </c>
      <c r="L97" t="s">
        <v>563</v>
      </c>
      <c r="M97">
        <v>2625</v>
      </c>
      <c r="N97">
        <v>2590</v>
      </c>
      <c r="O97" t="s">
        <v>590</v>
      </c>
      <c r="P97">
        <v>2545</v>
      </c>
      <c r="Q97">
        <v>2540</v>
      </c>
      <c r="R97">
        <v>2545</v>
      </c>
      <c r="S97">
        <v>2580</v>
      </c>
      <c r="T97">
        <v>2228</v>
      </c>
      <c r="U97">
        <v>2719</v>
      </c>
      <c r="V97">
        <v>3309</v>
      </c>
      <c r="W97">
        <v>2763</v>
      </c>
      <c r="X97">
        <v>2545</v>
      </c>
      <c r="Y97">
        <v>2763</v>
      </c>
      <c r="Z97">
        <v>2258</v>
      </c>
      <c r="AA97">
        <v>2506</v>
      </c>
      <c r="AB97">
        <v>2455</v>
      </c>
      <c r="AC97">
        <v>3033</v>
      </c>
    </row>
    <row r="98" spans="1:41" x14ac:dyDescent="0.25">
      <c r="A98" t="s">
        <v>126</v>
      </c>
    </row>
    <row r="99" spans="1:41" x14ac:dyDescent="0.25">
      <c r="A99" t="s">
        <v>127</v>
      </c>
      <c r="B99">
        <v>3093</v>
      </c>
      <c r="C99">
        <v>2887</v>
      </c>
      <c r="D99">
        <v>2615</v>
      </c>
    </row>
    <row r="100" spans="1:41" x14ac:dyDescent="0.25">
      <c r="A100" t="s">
        <v>128</v>
      </c>
      <c r="B100">
        <v>2275</v>
      </c>
      <c r="C100">
        <v>2365</v>
      </c>
      <c r="D100">
        <v>2830</v>
      </c>
      <c r="E100" t="s">
        <v>331</v>
      </c>
      <c r="F100" t="s">
        <v>332</v>
      </c>
      <c r="G100">
        <v>2180</v>
      </c>
      <c r="H100" t="s">
        <v>350</v>
      </c>
      <c r="I100" t="s">
        <v>371</v>
      </c>
      <c r="J100">
        <v>2294</v>
      </c>
      <c r="K100" t="s">
        <v>391</v>
      </c>
      <c r="L100" t="s">
        <v>402</v>
      </c>
      <c r="M100">
        <v>2243</v>
      </c>
      <c r="N100">
        <v>2151</v>
      </c>
      <c r="O100" t="s">
        <v>436</v>
      </c>
      <c r="P100" t="s">
        <v>488</v>
      </c>
      <c r="Q100">
        <v>3341</v>
      </c>
      <c r="R100">
        <v>2975</v>
      </c>
      <c r="S100" t="s">
        <v>518</v>
      </c>
      <c r="T100" t="s">
        <v>525</v>
      </c>
      <c r="U100">
        <v>2830</v>
      </c>
      <c r="V100">
        <v>2375</v>
      </c>
      <c r="W100" t="s">
        <v>538</v>
      </c>
      <c r="X100" t="s">
        <v>540</v>
      </c>
      <c r="Y100">
        <v>2251</v>
      </c>
      <c r="Z100">
        <v>2830</v>
      </c>
      <c r="AA100">
        <v>2261</v>
      </c>
      <c r="AB100">
        <v>2239</v>
      </c>
      <c r="AC100">
        <v>2365</v>
      </c>
      <c r="AD100">
        <v>2189</v>
      </c>
      <c r="AE100">
        <v>2187</v>
      </c>
      <c r="AF100">
        <v>2307</v>
      </c>
      <c r="AG100">
        <v>2172</v>
      </c>
      <c r="AH100">
        <v>2318</v>
      </c>
      <c r="AI100">
        <v>2328</v>
      </c>
      <c r="AJ100">
        <v>2335</v>
      </c>
      <c r="AK100">
        <v>2251</v>
      </c>
      <c r="AL100" t="s">
        <v>756</v>
      </c>
      <c r="AM100">
        <v>2320</v>
      </c>
      <c r="AN100">
        <v>2124</v>
      </c>
      <c r="AO100">
        <v>2313</v>
      </c>
    </row>
    <row r="101" spans="1:41" x14ac:dyDescent="0.25">
      <c r="A101" t="s">
        <v>129</v>
      </c>
      <c r="B101">
        <v>3179</v>
      </c>
    </row>
    <row r="102" spans="1:41" x14ac:dyDescent="0.25">
      <c r="A102" t="s">
        <v>130</v>
      </c>
      <c r="B102">
        <v>55</v>
      </c>
      <c r="C102">
        <v>4</v>
      </c>
      <c r="D102" t="s">
        <v>421</v>
      </c>
      <c r="E102" t="s">
        <v>542</v>
      </c>
      <c r="F102">
        <v>4867</v>
      </c>
      <c r="G102">
        <v>4799</v>
      </c>
    </row>
    <row r="103" spans="1:41" x14ac:dyDescent="0.25">
      <c r="A103" t="s">
        <v>131</v>
      </c>
    </row>
    <row r="104" spans="1:41" x14ac:dyDescent="0.25">
      <c r="A104" t="s">
        <v>132</v>
      </c>
    </row>
    <row r="105" spans="1:41" x14ac:dyDescent="0.25">
      <c r="A105" t="s">
        <v>133</v>
      </c>
    </row>
    <row r="106" spans="1:41" x14ac:dyDescent="0.25">
      <c r="A106" t="s">
        <v>134</v>
      </c>
    </row>
    <row r="107" spans="1:41" x14ac:dyDescent="0.25">
      <c r="A107" t="s">
        <v>135</v>
      </c>
      <c r="B107" t="s">
        <v>286</v>
      </c>
      <c r="C107" t="s">
        <v>387</v>
      </c>
      <c r="D107" t="s">
        <v>452</v>
      </c>
      <c r="E107" t="s">
        <v>462</v>
      </c>
      <c r="F107">
        <v>5012</v>
      </c>
    </row>
    <row r="108" spans="1:41" x14ac:dyDescent="0.25">
      <c r="A108" t="s">
        <v>136</v>
      </c>
    </row>
    <row r="109" spans="1:41" x14ac:dyDescent="0.25">
      <c r="A109" t="s">
        <v>137</v>
      </c>
      <c r="B109">
        <v>5907</v>
      </c>
      <c r="C109" t="s">
        <v>333</v>
      </c>
      <c r="D109" t="s">
        <v>450</v>
      </c>
      <c r="E109">
        <v>5910</v>
      </c>
      <c r="F109">
        <v>5629</v>
      </c>
      <c r="G109">
        <v>597</v>
      </c>
      <c r="H109">
        <v>5988</v>
      </c>
      <c r="I109">
        <v>5699</v>
      </c>
      <c r="J109">
        <v>5907</v>
      </c>
      <c r="K109">
        <v>5990</v>
      </c>
    </row>
    <row r="110" spans="1:41" x14ac:dyDescent="0.25">
      <c r="A110" t="s">
        <v>138</v>
      </c>
      <c r="B110">
        <v>2516</v>
      </c>
      <c r="C110">
        <v>2218</v>
      </c>
      <c r="D110">
        <v>2516</v>
      </c>
      <c r="E110" t="s">
        <v>394</v>
      </c>
      <c r="F110">
        <v>2218</v>
      </c>
      <c r="G110">
        <v>2218</v>
      </c>
      <c r="H110">
        <v>28</v>
      </c>
      <c r="I110">
        <v>2516</v>
      </c>
      <c r="J110">
        <v>2482</v>
      </c>
      <c r="K110">
        <v>2156</v>
      </c>
      <c r="L110">
        <v>2482</v>
      </c>
      <c r="M110">
        <v>2218</v>
      </c>
      <c r="N110">
        <v>2482</v>
      </c>
      <c r="O110">
        <v>2211</v>
      </c>
      <c r="P110">
        <v>2482</v>
      </c>
    </row>
    <row r="111" spans="1:41" x14ac:dyDescent="0.25">
      <c r="A111" t="s">
        <v>139</v>
      </c>
    </row>
    <row r="112" spans="1:41" x14ac:dyDescent="0.25">
      <c r="A112" t="s">
        <v>140</v>
      </c>
      <c r="B112">
        <v>3090</v>
      </c>
    </row>
    <row r="113" spans="1:4" x14ac:dyDescent="0.25">
      <c r="A113" t="s">
        <v>141</v>
      </c>
    </row>
    <row r="114" spans="1:4" x14ac:dyDescent="0.25">
      <c r="A114" t="s">
        <v>142</v>
      </c>
    </row>
    <row r="115" spans="1:4" x14ac:dyDescent="0.25">
      <c r="A115" t="s">
        <v>143</v>
      </c>
      <c r="B115">
        <v>4617</v>
      </c>
      <c r="C115">
        <v>4990</v>
      </c>
    </row>
    <row r="116" spans="1:4" x14ac:dyDescent="0.25">
      <c r="A116" t="s">
        <v>144</v>
      </c>
    </row>
    <row r="117" spans="1:4" x14ac:dyDescent="0.25">
      <c r="A117" t="s">
        <v>145</v>
      </c>
    </row>
    <row r="118" spans="1:4" x14ac:dyDescent="0.25">
      <c r="A118" t="s">
        <v>146</v>
      </c>
    </row>
    <row r="119" spans="1:4" x14ac:dyDescent="0.25">
      <c r="A119" t="s">
        <v>147</v>
      </c>
      <c r="B119">
        <v>2485</v>
      </c>
    </row>
    <row r="120" spans="1:4" x14ac:dyDescent="0.25">
      <c r="A120" t="s">
        <v>148</v>
      </c>
    </row>
    <row r="121" spans="1:4" x14ac:dyDescent="0.25">
      <c r="A121" t="s">
        <v>149</v>
      </c>
    </row>
    <row r="122" spans="1:4" x14ac:dyDescent="0.25">
      <c r="A122" t="s">
        <v>150</v>
      </c>
    </row>
    <row r="123" spans="1:4" x14ac:dyDescent="0.25">
      <c r="A123" t="s">
        <v>151</v>
      </c>
      <c r="B123" t="s">
        <v>569</v>
      </c>
      <c r="C123">
        <v>5273</v>
      </c>
      <c r="D123">
        <v>5884</v>
      </c>
    </row>
    <row r="124" spans="1:4" x14ac:dyDescent="0.25">
      <c r="A124" t="s">
        <v>152</v>
      </c>
    </row>
    <row r="125" spans="1:4" x14ac:dyDescent="0.25">
      <c r="A125" t="s">
        <v>153</v>
      </c>
    </row>
    <row r="126" spans="1:4" x14ac:dyDescent="0.25">
      <c r="A126" t="s">
        <v>154</v>
      </c>
    </row>
    <row r="127" spans="1:4" x14ac:dyDescent="0.25">
      <c r="A127" t="s">
        <v>155</v>
      </c>
      <c r="B127">
        <v>5677</v>
      </c>
      <c r="C127">
        <v>5565</v>
      </c>
    </row>
    <row r="128" spans="1:4" x14ac:dyDescent="0.25">
      <c r="A128" t="s">
        <v>156</v>
      </c>
    </row>
    <row r="129" spans="1:66" x14ac:dyDescent="0.25">
      <c r="A129" t="s">
        <v>157</v>
      </c>
      <c r="B129" t="s">
        <v>265</v>
      </c>
      <c r="C129" t="s">
        <v>315</v>
      </c>
      <c r="D129" t="s">
        <v>336</v>
      </c>
      <c r="E129">
        <v>2473</v>
      </c>
      <c r="F129">
        <v>2502</v>
      </c>
      <c r="G129" t="s">
        <v>413</v>
      </c>
      <c r="H129" t="s">
        <v>414</v>
      </c>
      <c r="I129" t="s">
        <v>423</v>
      </c>
      <c r="J129">
        <v>2657</v>
      </c>
      <c r="K129">
        <v>2689</v>
      </c>
      <c r="L129">
        <v>2698</v>
      </c>
      <c r="M129" t="s">
        <v>552</v>
      </c>
      <c r="N129">
        <v>2139</v>
      </c>
      <c r="O129">
        <v>2699</v>
      </c>
      <c r="P129">
        <v>2689</v>
      </c>
      <c r="Q129">
        <v>2466</v>
      </c>
      <c r="R129">
        <v>2248</v>
      </c>
      <c r="S129">
        <v>2689</v>
      </c>
      <c r="T129">
        <v>2686</v>
      </c>
      <c r="U129">
        <v>2644</v>
      </c>
      <c r="V129">
        <v>2644</v>
      </c>
      <c r="W129">
        <v>2869</v>
      </c>
    </row>
    <row r="130" spans="1:66" x14ac:dyDescent="0.25">
      <c r="A130" t="s">
        <v>158</v>
      </c>
      <c r="B130">
        <v>2631</v>
      </c>
      <c r="C130" t="s">
        <v>296</v>
      </c>
      <c r="D130" t="s">
        <v>340</v>
      </c>
      <c r="E130">
        <v>2244</v>
      </c>
      <c r="F130">
        <v>3241</v>
      </c>
      <c r="G130">
        <v>2159</v>
      </c>
      <c r="H130">
        <v>2886</v>
      </c>
      <c r="I130">
        <v>2195</v>
      </c>
      <c r="J130">
        <v>2236</v>
      </c>
      <c r="K130" t="s">
        <v>503</v>
      </c>
      <c r="L130" t="s">
        <v>510</v>
      </c>
      <c r="M130" t="s">
        <v>516</v>
      </c>
      <c r="N130">
        <v>2441</v>
      </c>
      <c r="O130" t="s">
        <v>520</v>
      </c>
      <c r="P130">
        <v>2880</v>
      </c>
      <c r="Q130">
        <v>2163</v>
      </c>
      <c r="R130" t="s">
        <v>564</v>
      </c>
      <c r="S130">
        <v>2310</v>
      </c>
      <c r="T130">
        <v>2264</v>
      </c>
      <c r="U130">
        <v>2751</v>
      </c>
      <c r="V130" t="s">
        <v>616</v>
      </c>
      <c r="W130" t="s">
        <v>627</v>
      </c>
      <c r="X130">
        <v>2287</v>
      </c>
      <c r="Y130">
        <v>2278</v>
      </c>
      <c r="Z130">
        <v>2276</v>
      </c>
      <c r="AA130">
        <v>2328</v>
      </c>
      <c r="AB130">
        <v>2228</v>
      </c>
    </row>
    <row r="131" spans="1:66" x14ac:dyDescent="0.25">
      <c r="A131" t="s">
        <v>159</v>
      </c>
      <c r="B131" t="s">
        <v>617</v>
      </c>
    </row>
    <row r="132" spans="1:66" x14ac:dyDescent="0.25">
      <c r="A132" t="s">
        <v>160</v>
      </c>
    </row>
    <row r="133" spans="1:66" x14ac:dyDescent="0.25">
      <c r="A133" t="s">
        <v>161</v>
      </c>
    </row>
    <row r="134" spans="1:66" x14ac:dyDescent="0.25">
      <c r="A134" t="s">
        <v>162</v>
      </c>
      <c r="B134">
        <v>2125</v>
      </c>
      <c r="C134">
        <v>2355</v>
      </c>
      <c r="D134">
        <v>2125</v>
      </c>
      <c r="E134" t="s">
        <v>291</v>
      </c>
      <c r="F134">
        <v>45719050</v>
      </c>
      <c r="G134" s="37">
        <v>2745.125</v>
      </c>
      <c r="H134">
        <v>2280</v>
      </c>
      <c r="I134" t="s">
        <v>412</v>
      </c>
      <c r="J134">
        <v>2259</v>
      </c>
      <c r="K134">
        <v>2426</v>
      </c>
      <c r="L134" t="s">
        <v>425</v>
      </c>
      <c r="M134">
        <v>2559</v>
      </c>
      <c r="N134">
        <v>3232</v>
      </c>
      <c r="O134">
        <v>2690</v>
      </c>
      <c r="P134">
        <v>2191</v>
      </c>
      <c r="Q134">
        <v>2119</v>
      </c>
      <c r="R134" t="s">
        <v>498</v>
      </c>
      <c r="S134">
        <v>2191</v>
      </c>
      <c r="T134" t="s">
        <v>504</v>
      </c>
      <c r="U134" t="s">
        <v>534</v>
      </c>
      <c r="V134" t="s">
        <v>550</v>
      </c>
      <c r="W134" t="s">
        <v>565</v>
      </c>
      <c r="X134">
        <v>2232</v>
      </c>
      <c r="Y134">
        <v>2372</v>
      </c>
      <c r="Z134">
        <v>2245</v>
      </c>
      <c r="AA134" t="s">
        <v>534</v>
      </c>
      <c r="AB134">
        <v>2195</v>
      </c>
      <c r="AC134">
        <v>2392</v>
      </c>
      <c r="AD134">
        <v>2121</v>
      </c>
      <c r="AE134">
        <v>2105</v>
      </c>
      <c r="AF134">
        <v>2437</v>
      </c>
      <c r="AG134">
        <v>2232</v>
      </c>
      <c r="AH134">
        <v>2426</v>
      </c>
      <c r="AI134">
        <v>2748</v>
      </c>
      <c r="AJ134">
        <v>2426</v>
      </c>
      <c r="AK134">
        <v>2428</v>
      </c>
      <c r="AL134">
        <v>2368</v>
      </c>
      <c r="AM134">
        <v>2368</v>
      </c>
      <c r="AN134">
        <v>2224</v>
      </c>
      <c r="AO134">
        <v>2229</v>
      </c>
      <c r="AP134">
        <v>2409</v>
      </c>
      <c r="AQ134">
        <v>2319</v>
      </c>
      <c r="AR134">
        <v>2215</v>
      </c>
      <c r="AS134">
        <v>2152</v>
      </c>
    </row>
    <row r="135" spans="1:66" x14ac:dyDescent="0.25">
      <c r="A135" t="s">
        <v>163</v>
      </c>
    </row>
    <row r="136" spans="1:66" x14ac:dyDescent="0.25">
      <c r="A136" t="s">
        <v>164</v>
      </c>
    </row>
    <row r="137" spans="1:66" x14ac:dyDescent="0.25">
      <c r="A137" t="s">
        <v>165</v>
      </c>
      <c r="B137" t="s">
        <v>598</v>
      </c>
    </row>
    <row r="138" spans="1:66" x14ac:dyDescent="0.25">
      <c r="A138" t="s">
        <v>166</v>
      </c>
    </row>
    <row r="139" spans="1:66" x14ac:dyDescent="0.25">
      <c r="A139" t="s">
        <v>167</v>
      </c>
      <c r="B139">
        <v>4050</v>
      </c>
      <c r="C139">
        <v>4096</v>
      </c>
      <c r="D139">
        <v>4050</v>
      </c>
      <c r="E139">
        <v>4050</v>
      </c>
      <c r="F139" t="s">
        <v>721</v>
      </c>
    </row>
    <row r="140" spans="1:66" x14ac:dyDescent="0.25">
      <c r="A140" t="s">
        <v>168</v>
      </c>
      <c r="B140">
        <v>4094</v>
      </c>
      <c r="C140">
        <v>4140</v>
      </c>
      <c r="D140">
        <v>4090</v>
      </c>
      <c r="E140">
        <v>4135</v>
      </c>
      <c r="F140">
        <v>4178</v>
      </c>
      <c r="G140">
        <v>4079</v>
      </c>
      <c r="H140">
        <v>4069</v>
      </c>
      <c r="I140">
        <v>4135</v>
      </c>
      <c r="J140">
        <v>4235</v>
      </c>
      <c r="K140">
        <v>4178</v>
      </c>
      <c r="L140">
        <v>4178</v>
      </c>
      <c r="M140">
        <v>4135</v>
      </c>
      <c r="N140">
        <v>4168</v>
      </c>
    </row>
    <row r="141" spans="1:66" x14ac:dyDescent="0.25">
      <c r="A141" t="s">
        <v>169</v>
      </c>
      <c r="B141">
        <v>2793</v>
      </c>
    </row>
    <row r="142" spans="1:66" x14ac:dyDescent="0.25">
      <c r="A142" t="s">
        <v>170</v>
      </c>
    </row>
    <row r="143" spans="1:66" x14ac:dyDescent="0.25">
      <c r="A143" t="s">
        <v>171</v>
      </c>
    </row>
    <row r="144" spans="1:66" x14ac:dyDescent="0.25">
      <c r="A144" t="s">
        <v>172</v>
      </c>
      <c r="B144">
        <v>4283</v>
      </c>
      <c r="C144">
        <v>4300</v>
      </c>
      <c r="D144" t="s">
        <v>233</v>
      </c>
      <c r="E144" s="37">
        <v>3838.1428571428573</v>
      </c>
      <c r="F144" t="s">
        <v>314</v>
      </c>
      <c r="G144" t="s">
        <v>359</v>
      </c>
      <c r="H144" t="s">
        <v>362</v>
      </c>
      <c r="I144">
        <v>4212</v>
      </c>
      <c r="J144" t="s">
        <v>443</v>
      </c>
      <c r="K144">
        <v>4775</v>
      </c>
      <c r="L144" t="s">
        <v>464</v>
      </c>
      <c r="M144">
        <v>4300</v>
      </c>
      <c r="N144">
        <v>4089</v>
      </c>
      <c r="O144" t="s">
        <v>497</v>
      </c>
      <c r="P144">
        <v>4266</v>
      </c>
      <c r="Q144">
        <v>3838</v>
      </c>
      <c r="R144" t="s">
        <v>537</v>
      </c>
      <c r="S144">
        <v>4089</v>
      </c>
      <c r="T144" t="s">
        <v>541</v>
      </c>
      <c r="U144" t="s">
        <v>553</v>
      </c>
      <c r="V144">
        <v>4846</v>
      </c>
      <c r="W144" t="s">
        <v>579</v>
      </c>
      <c r="X144">
        <v>4085</v>
      </c>
      <c r="Y144" t="s">
        <v>592</v>
      </c>
      <c r="Z144" t="s">
        <v>604</v>
      </c>
      <c r="AA144" t="s">
        <v>608</v>
      </c>
      <c r="AB144">
        <v>4846</v>
      </c>
      <c r="AC144">
        <v>4840</v>
      </c>
      <c r="AD144">
        <v>4300</v>
      </c>
      <c r="AE144">
        <v>3975</v>
      </c>
      <c r="AF144">
        <v>4085</v>
      </c>
      <c r="AG144">
        <v>4565</v>
      </c>
      <c r="AH144">
        <v>4846</v>
      </c>
      <c r="AI144">
        <v>4283</v>
      </c>
      <c r="AJ144">
        <v>4300</v>
      </c>
      <c r="AK144">
        <v>3799</v>
      </c>
      <c r="AL144">
        <v>4300</v>
      </c>
      <c r="AM144">
        <v>4283</v>
      </c>
      <c r="AN144">
        <v>4846</v>
      </c>
      <c r="AO144">
        <v>4846</v>
      </c>
      <c r="AP144">
        <v>4846</v>
      </c>
      <c r="AQ144">
        <v>4283</v>
      </c>
      <c r="AR144">
        <v>3975</v>
      </c>
      <c r="AS144">
        <v>4846</v>
      </c>
      <c r="AT144">
        <v>4648</v>
      </c>
      <c r="AU144">
        <v>4259</v>
      </c>
      <c r="AV144">
        <v>4182</v>
      </c>
      <c r="AW144">
        <v>3638</v>
      </c>
      <c r="AX144">
        <v>3779</v>
      </c>
      <c r="AY144">
        <v>2107</v>
      </c>
      <c r="AZ144">
        <v>4283</v>
      </c>
      <c r="BA144">
        <v>3728</v>
      </c>
      <c r="BB144">
        <v>3636</v>
      </c>
      <c r="BC144">
        <v>3921</v>
      </c>
      <c r="BD144">
        <v>4263</v>
      </c>
      <c r="BE144">
        <v>4266</v>
      </c>
      <c r="BF144" t="s">
        <v>747</v>
      </c>
      <c r="BG144">
        <v>3921</v>
      </c>
      <c r="BH144">
        <v>4504</v>
      </c>
      <c r="BI144" t="s">
        <v>772</v>
      </c>
      <c r="BJ144">
        <v>4615</v>
      </c>
      <c r="BK144">
        <v>4421</v>
      </c>
      <c r="BL144">
        <v>3949</v>
      </c>
      <c r="BM144">
        <v>3653</v>
      </c>
      <c r="BN144">
        <v>4287</v>
      </c>
    </row>
    <row r="145" spans="1:63" x14ac:dyDescent="0.25">
      <c r="A145" t="s">
        <v>173</v>
      </c>
    </row>
    <row r="146" spans="1:63" x14ac:dyDescent="0.25">
      <c r="A146" t="s">
        <v>204</v>
      </c>
    </row>
    <row r="147" spans="1:63" x14ac:dyDescent="0.25">
      <c r="A147" t="s">
        <v>205</v>
      </c>
      <c r="B147">
        <v>2174</v>
      </c>
      <c r="C147" t="s">
        <v>285</v>
      </c>
    </row>
    <row r="148" spans="1:63" x14ac:dyDescent="0.25">
      <c r="A148" t="s">
        <v>206</v>
      </c>
      <c r="B148">
        <v>4076</v>
      </c>
      <c r="C148" t="s">
        <v>218</v>
      </c>
      <c r="D148">
        <v>4083</v>
      </c>
      <c r="E148">
        <v>4018</v>
      </c>
      <c r="F148">
        <v>4082</v>
      </c>
      <c r="G148">
        <v>4122</v>
      </c>
      <c r="H148">
        <v>4122</v>
      </c>
      <c r="I148">
        <v>4051</v>
      </c>
      <c r="J148">
        <v>4076</v>
      </c>
      <c r="K148">
        <v>4051</v>
      </c>
      <c r="L148">
        <v>4082</v>
      </c>
      <c r="M148">
        <v>2294</v>
      </c>
      <c r="N148">
        <v>4076</v>
      </c>
      <c r="O148">
        <v>4028</v>
      </c>
      <c r="P148">
        <v>4011</v>
      </c>
      <c r="Q148">
        <v>4003</v>
      </c>
    </row>
    <row r="149" spans="1:63" x14ac:dyDescent="0.25">
      <c r="A149" t="s">
        <v>210</v>
      </c>
      <c r="B149" t="s">
        <v>209</v>
      </c>
      <c r="C149" t="s">
        <v>219</v>
      </c>
      <c r="D149" t="s">
        <v>223</v>
      </c>
      <c r="E149">
        <v>2478</v>
      </c>
      <c r="F149" t="s">
        <v>273</v>
      </c>
      <c r="G149" t="s">
        <v>321</v>
      </c>
      <c r="H149" t="s">
        <v>325</v>
      </c>
      <c r="I149" t="s">
        <v>334</v>
      </c>
      <c r="J149">
        <v>3136</v>
      </c>
      <c r="K149" t="s">
        <v>349</v>
      </c>
      <c r="L149" t="s">
        <v>351</v>
      </c>
      <c r="M149">
        <v>2431</v>
      </c>
      <c r="N149">
        <v>2270</v>
      </c>
      <c r="O149" t="s">
        <v>390</v>
      </c>
      <c r="P149">
        <v>2280</v>
      </c>
      <c r="Q149">
        <v>498</v>
      </c>
      <c r="R149">
        <v>2366</v>
      </c>
      <c r="S149">
        <v>4147</v>
      </c>
      <c r="T149">
        <v>2239</v>
      </c>
      <c r="U149">
        <v>2680</v>
      </c>
      <c r="V149">
        <v>3133</v>
      </c>
      <c r="W149">
        <v>22700</v>
      </c>
      <c r="X149">
        <v>3147</v>
      </c>
      <c r="Y149" t="s">
        <v>606</v>
      </c>
      <c r="Z149">
        <v>2379</v>
      </c>
      <c r="AA149">
        <v>2652</v>
      </c>
      <c r="AB149">
        <v>2366</v>
      </c>
      <c r="AC149">
        <v>2139</v>
      </c>
      <c r="AD149">
        <v>2830</v>
      </c>
      <c r="AE149" t="s">
        <v>687</v>
      </c>
      <c r="AF149">
        <v>2139</v>
      </c>
      <c r="AG149" t="s">
        <v>691</v>
      </c>
      <c r="AH149">
        <v>4846</v>
      </c>
      <c r="AI149">
        <v>3063</v>
      </c>
      <c r="AJ149">
        <v>2139</v>
      </c>
      <c r="AK149" t="s">
        <v>764</v>
      </c>
      <c r="AL149">
        <v>3253</v>
      </c>
      <c r="AM149">
        <v>2139</v>
      </c>
      <c r="AN149">
        <v>2494</v>
      </c>
      <c r="AO149">
        <v>2139</v>
      </c>
    </row>
    <row r="150" spans="1:63" x14ac:dyDescent="0.25">
      <c r="A150" t="s">
        <v>213</v>
      </c>
      <c r="B150">
        <v>2654</v>
      </c>
      <c r="C150">
        <v>2170</v>
      </c>
      <c r="D150">
        <v>2329</v>
      </c>
      <c r="E150">
        <v>2240</v>
      </c>
      <c r="F150">
        <v>242545733785</v>
      </c>
      <c r="G150" t="s">
        <v>248</v>
      </c>
      <c r="H150">
        <v>2229</v>
      </c>
      <c r="I150" t="s">
        <v>257</v>
      </c>
      <c r="J150" s="37">
        <v>2240.6</v>
      </c>
      <c r="K150" t="s">
        <v>372</v>
      </c>
      <c r="L150">
        <v>2286</v>
      </c>
      <c r="M150">
        <v>2241</v>
      </c>
      <c r="N150">
        <v>3102</v>
      </c>
      <c r="O150" t="s">
        <v>465</v>
      </c>
      <c r="P150">
        <v>2255</v>
      </c>
      <c r="Q150">
        <v>2431</v>
      </c>
      <c r="R150">
        <v>2580</v>
      </c>
      <c r="S150" t="s">
        <v>535</v>
      </c>
      <c r="T150">
        <v>2467</v>
      </c>
      <c r="U150" t="s">
        <v>622</v>
      </c>
      <c r="V150" t="s">
        <v>635</v>
      </c>
      <c r="W150">
        <v>2581</v>
      </c>
      <c r="X150">
        <v>2155</v>
      </c>
      <c r="Y150">
        <v>2376</v>
      </c>
      <c r="Z150" t="s">
        <v>681</v>
      </c>
      <c r="AA150">
        <v>2379</v>
      </c>
      <c r="AB150" t="s">
        <v>703</v>
      </c>
      <c r="AC150">
        <v>2369</v>
      </c>
      <c r="AD150">
        <v>2610</v>
      </c>
      <c r="AE150">
        <v>2664</v>
      </c>
      <c r="AF150">
        <v>3357</v>
      </c>
      <c r="AG150">
        <v>2374</v>
      </c>
    </row>
    <row r="151" spans="1:63" x14ac:dyDescent="0.25">
      <c r="A151" t="s">
        <v>214</v>
      </c>
      <c r="B151">
        <v>1</v>
      </c>
      <c r="C151" t="s">
        <v>298</v>
      </c>
    </row>
    <row r="152" spans="1:63" x14ac:dyDescent="0.25">
      <c r="A152" t="s">
        <v>222</v>
      </c>
      <c r="B152">
        <v>2500</v>
      </c>
    </row>
    <row r="153" spans="1:63" x14ac:dyDescent="0.25">
      <c r="A153" t="s">
        <v>225</v>
      </c>
      <c r="B153" t="s">
        <v>226</v>
      </c>
      <c r="C153" t="s">
        <v>270</v>
      </c>
      <c r="D153">
        <v>2163</v>
      </c>
      <c r="E153">
        <v>2235</v>
      </c>
      <c r="F153">
        <v>2495</v>
      </c>
      <c r="G153">
        <v>2185</v>
      </c>
      <c r="H153">
        <v>2570</v>
      </c>
      <c r="I153">
        <v>2886</v>
      </c>
      <c r="J153">
        <v>2495</v>
      </c>
      <c r="K153">
        <v>2276</v>
      </c>
      <c r="L153">
        <v>2254</v>
      </c>
      <c r="M153">
        <v>2185</v>
      </c>
      <c r="N153">
        <v>2396</v>
      </c>
      <c r="O153">
        <v>2441</v>
      </c>
      <c r="P153">
        <v>2185</v>
      </c>
      <c r="Q153">
        <v>2159</v>
      </c>
      <c r="R153">
        <v>2244</v>
      </c>
      <c r="S153">
        <v>2287</v>
      </c>
      <c r="T153">
        <v>2185</v>
      </c>
      <c r="U153">
        <v>2244</v>
      </c>
      <c r="V153">
        <v>2244</v>
      </c>
      <c r="W153">
        <v>2310</v>
      </c>
      <c r="X153">
        <v>2185</v>
      </c>
      <c r="Y153">
        <v>2886</v>
      </c>
      <c r="Z153">
        <v>2454</v>
      </c>
      <c r="AA153">
        <v>2185</v>
      </c>
      <c r="AB153">
        <v>2185</v>
      </c>
      <c r="AC153">
        <v>2185</v>
      </c>
      <c r="AD153">
        <v>2276</v>
      </c>
      <c r="AE153">
        <v>2310</v>
      </c>
      <c r="AF153">
        <v>2244</v>
      </c>
      <c r="AG153">
        <v>2111</v>
      </c>
      <c r="AH153">
        <v>2310</v>
      </c>
      <c r="AI153">
        <v>2412</v>
      </c>
      <c r="AJ153">
        <v>2185</v>
      </c>
      <c r="AK153">
        <v>2185</v>
      </c>
      <c r="AL153">
        <v>2185</v>
      </c>
      <c r="AM153">
        <v>2185</v>
      </c>
      <c r="AN153">
        <v>2310</v>
      </c>
      <c r="AO153">
        <v>2185</v>
      </c>
      <c r="AP153">
        <v>2185</v>
      </c>
      <c r="AQ153">
        <v>2185</v>
      </c>
      <c r="AR153">
        <v>2441</v>
      </c>
      <c r="AS153">
        <v>2185</v>
      </c>
      <c r="AT153">
        <v>2185</v>
      </c>
      <c r="AU153">
        <v>2185</v>
      </c>
      <c r="AV153">
        <v>2244</v>
      </c>
      <c r="AW153">
        <v>2135</v>
      </c>
      <c r="AX153">
        <v>2310</v>
      </c>
      <c r="AY153">
        <v>2564</v>
      </c>
      <c r="AZ153">
        <v>2236</v>
      </c>
      <c r="BA153">
        <v>2185</v>
      </c>
      <c r="BB153">
        <v>2412</v>
      </c>
      <c r="BC153">
        <v>2310</v>
      </c>
      <c r="BD153">
        <v>2487</v>
      </c>
      <c r="BE153">
        <v>2228</v>
      </c>
      <c r="BF153">
        <v>2412</v>
      </c>
      <c r="BG153">
        <v>2185</v>
      </c>
      <c r="BH153">
        <v>2159</v>
      </c>
      <c r="BI153">
        <v>2570</v>
      </c>
      <c r="BJ153">
        <v>2287</v>
      </c>
      <c r="BK153">
        <v>2185</v>
      </c>
    </row>
    <row r="154" spans="1:63" x14ac:dyDescent="0.25">
      <c r="A154" t="s">
        <v>228</v>
      </c>
      <c r="B154" t="s">
        <v>227</v>
      </c>
      <c r="C154">
        <v>2386</v>
      </c>
    </row>
    <row r="155" spans="1:63" x14ac:dyDescent="0.25">
      <c r="A155" t="s">
        <v>235</v>
      </c>
      <c r="B155">
        <v>2673</v>
      </c>
      <c r="C155" t="s">
        <v>236</v>
      </c>
      <c r="D155">
        <v>2980</v>
      </c>
      <c r="E155" t="s">
        <v>279</v>
      </c>
      <c r="F155">
        <v>3207</v>
      </c>
    </row>
    <row r="156" spans="1:63" x14ac:dyDescent="0.25">
      <c r="A156" t="s">
        <v>245</v>
      </c>
      <c r="B156" s="38">
        <v>2652.1578947368421</v>
      </c>
      <c r="C156" t="s">
        <v>283</v>
      </c>
      <c r="D156" t="s">
        <v>344</v>
      </c>
      <c r="E156" t="s">
        <v>400</v>
      </c>
      <c r="F156">
        <v>2714</v>
      </c>
    </row>
    <row r="157" spans="1:63" x14ac:dyDescent="0.25">
      <c r="A157" t="s">
        <v>250</v>
      </c>
    </row>
    <row r="158" spans="1:63" x14ac:dyDescent="0.25">
      <c r="A158" t="s">
        <v>251</v>
      </c>
      <c r="B158">
        <v>5014</v>
      </c>
      <c r="C158">
        <v>4761</v>
      </c>
      <c r="D158">
        <v>4181</v>
      </c>
      <c r="E158">
        <v>3894</v>
      </c>
      <c r="F158">
        <v>4630</v>
      </c>
      <c r="G158">
        <v>4626</v>
      </c>
      <c r="H158">
        <v>5014</v>
      </c>
      <c r="I158">
        <v>4789</v>
      </c>
      <c r="J158" t="s">
        <v>532</v>
      </c>
      <c r="K158" t="s">
        <v>583</v>
      </c>
      <c r="L158">
        <v>4789</v>
      </c>
      <c r="M158">
        <v>4269</v>
      </c>
      <c r="N158">
        <v>4269</v>
      </c>
      <c r="O158" t="s">
        <v>659</v>
      </c>
      <c r="P158">
        <v>5406</v>
      </c>
      <c r="Q158">
        <v>4609</v>
      </c>
      <c r="R158">
        <v>3834</v>
      </c>
    </row>
    <row r="159" spans="1:63" x14ac:dyDescent="0.25">
      <c r="A159" t="s">
        <v>258</v>
      </c>
      <c r="B159">
        <v>15518159</v>
      </c>
    </row>
    <row r="160" spans="1:63" x14ac:dyDescent="0.25">
      <c r="A160" t="s">
        <v>261</v>
      </c>
      <c r="B160">
        <v>2176</v>
      </c>
      <c r="C160" t="s">
        <v>262</v>
      </c>
      <c r="D160" t="s">
        <v>263</v>
      </c>
      <c r="E160">
        <v>2514</v>
      </c>
      <c r="F160">
        <v>2577</v>
      </c>
      <c r="G160" t="s">
        <v>339</v>
      </c>
      <c r="H160" t="s">
        <v>368</v>
      </c>
      <c r="I160">
        <v>2637</v>
      </c>
      <c r="J160" t="s">
        <v>440</v>
      </c>
      <c r="K160">
        <v>2258</v>
      </c>
      <c r="L160">
        <v>2137</v>
      </c>
      <c r="M160">
        <v>2172</v>
      </c>
      <c r="N160">
        <v>2609</v>
      </c>
    </row>
    <row r="161" spans="1:12" x14ac:dyDescent="0.25">
      <c r="A161" t="s">
        <v>269</v>
      </c>
      <c r="B161">
        <v>3886</v>
      </c>
      <c r="C161">
        <v>3915</v>
      </c>
      <c r="D161">
        <v>3980</v>
      </c>
      <c r="E161" t="s">
        <v>435</v>
      </c>
      <c r="F161" s="37">
        <v>4883.333333333333</v>
      </c>
      <c r="G161">
        <v>4095</v>
      </c>
      <c r="H161">
        <v>4642</v>
      </c>
      <c r="I161" t="s">
        <v>625</v>
      </c>
      <c r="J161" t="s">
        <v>252</v>
      </c>
      <c r="K161">
        <v>3776</v>
      </c>
      <c r="L161">
        <v>3808</v>
      </c>
    </row>
    <row r="162" spans="1:12" x14ac:dyDescent="0.25">
      <c r="A162" t="s">
        <v>272</v>
      </c>
      <c r="B162" t="s">
        <v>271</v>
      </c>
      <c r="C162" t="s">
        <v>295</v>
      </c>
      <c r="D162">
        <v>2351</v>
      </c>
      <c r="E162">
        <v>2351</v>
      </c>
      <c r="F162">
        <v>2377</v>
      </c>
    </row>
    <row r="163" spans="1:12" x14ac:dyDescent="0.25">
      <c r="A163" t="s">
        <v>288</v>
      </c>
      <c r="B163" t="s">
        <v>287</v>
      </c>
    </row>
    <row r="164" spans="1:12" x14ac:dyDescent="0.25">
      <c r="A164" t="s">
        <v>292</v>
      </c>
    </row>
    <row r="165" spans="1:12" x14ac:dyDescent="0.25">
      <c r="A165" t="s">
        <v>293</v>
      </c>
    </row>
    <row r="166" spans="1:12" x14ac:dyDescent="0.25">
      <c r="A166" t="s">
        <v>303</v>
      </c>
      <c r="B166" t="s">
        <v>302</v>
      </c>
    </row>
    <row r="167" spans="1:12" x14ac:dyDescent="0.25">
      <c r="A167" t="s">
        <v>305</v>
      </c>
    </row>
    <row r="168" spans="1:12" x14ac:dyDescent="0.25">
      <c r="A168" t="s">
        <v>307</v>
      </c>
    </row>
    <row r="169" spans="1:12" x14ac:dyDescent="0.25">
      <c r="A169" t="s">
        <v>310</v>
      </c>
      <c r="B169">
        <v>1</v>
      </c>
    </row>
    <row r="170" spans="1:12" x14ac:dyDescent="0.25">
      <c r="A170" t="s">
        <v>312</v>
      </c>
    </row>
    <row r="171" spans="1:12" x14ac:dyDescent="0.25">
      <c r="A171" t="s">
        <v>320</v>
      </c>
    </row>
    <row r="172" spans="1:12" x14ac:dyDescent="0.25">
      <c r="A172" t="s">
        <v>322</v>
      </c>
    </row>
    <row r="173" spans="1:12" x14ac:dyDescent="0.25">
      <c r="A173" t="s">
        <v>337</v>
      </c>
      <c r="B173" t="s">
        <v>338</v>
      </c>
    </row>
    <row r="174" spans="1:12" x14ac:dyDescent="0.25">
      <c r="A174" t="s">
        <v>342</v>
      </c>
      <c r="B174" t="s">
        <v>549</v>
      </c>
    </row>
    <row r="175" spans="1:12" x14ac:dyDescent="0.25">
      <c r="A175" t="s">
        <v>348</v>
      </c>
      <c r="B175">
        <v>4147</v>
      </c>
      <c r="C175">
        <v>4083</v>
      </c>
      <c r="D175" t="s">
        <v>484</v>
      </c>
      <c r="E175">
        <v>4058</v>
      </c>
      <c r="F175">
        <v>4003</v>
      </c>
      <c r="G175">
        <v>4051</v>
      </c>
    </row>
    <row r="176" spans="1:12" x14ac:dyDescent="0.25">
      <c r="A176" t="s">
        <v>373</v>
      </c>
    </row>
    <row r="177" spans="1:12" x14ac:dyDescent="0.25">
      <c r="A177" t="s">
        <v>404</v>
      </c>
      <c r="B177">
        <v>4266</v>
      </c>
      <c r="C177">
        <v>4369</v>
      </c>
      <c r="D177">
        <v>4846</v>
      </c>
      <c r="E177">
        <v>4283</v>
      </c>
      <c r="F177">
        <v>4283</v>
      </c>
      <c r="G177">
        <v>4300</v>
      </c>
      <c r="H177">
        <v>3638</v>
      </c>
      <c r="I177" t="s">
        <v>714</v>
      </c>
      <c r="J177">
        <v>4648</v>
      </c>
      <c r="K177">
        <v>2379</v>
      </c>
      <c r="L177">
        <v>4421</v>
      </c>
    </row>
    <row r="178" spans="1:12" x14ac:dyDescent="0.25">
      <c r="A178" t="s">
        <v>405</v>
      </c>
      <c r="B178">
        <v>4283</v>
      </c>
    </row>
    <row r="179" spans="1:12" x14ac:dyDescent="0.25">
      <c r="A179" t="s">
        <v>407</v>
      </c>
      <c r="B179">
        <v>6851</v>
      </c>
      <c r="C179" t="s">
        <v>507</v>
      </c>
      <c r="D179" t="s">
        <v>547</v>
      </c>
      <c r="E179" t="s">
        <v>562</v>
      </c>
      <c r="F179">
        <v>5063</v>
      </c>
      <c r="G179">
        <v>5008</v>
      </c>
    </row>
    <row r="180" spans="1:12" x14ac:dyDescent="0.25">
      <c r="A180" t="s">
        <v>408</v>
      </c>
      <c r="B180">
        <v>4362</v>
      </c>
      <c r="C180">
        <v>4161</v>
      </c>
      <c r="D180">
        <v>4343</v>
      </c>
      <c r="E180">
        <v>3674</v>
      </c>
      <c r="F180">
        <v>4438</v>
      </c>
      <c r="G180">
        <v>3823</v>
      </c>
    </row>
    <row r="181" spans="1:12" x14ac:dyDescent="0.25">
      <c r="A181" t="s">
        <v>409</v>
      </c>
    </row>
    <row r="182" spans="1:12" x14ac:dyDescent="0.25">
      <c r="A182" t="s">
        <v>418</v>
      </c>
      <c r="B182" t="s">
        <v>419</v>
      </c>
      <c r="C182">
        <v>2065</v>
      </c>
      <c r="D182">
        <v>2675</v>
      </c>
    </row>
    <row r="183" spans="1:12" x14ac:dyDescent="0.25">
      <c r="A183" t="s">
        <v>420</v>
      </c>
      <c r="B183">
        <v>4135</v>
      </c>
      <c r="C183">
        <v>4178</v>
      </c>
    </row>
    <row r="184" spans="1:12" x14ac:dyDescent="0.25">
      <c r="A184" t="s">
        <v>424</v>
      </c>
    </row>
    <row r="185" spans="1:12" x14ac:dyDescent="0.25">
      <c r="A185" t="s">
        <v>427</v>
      </c>
    </row>
    <row r="186" spans="1:12" x14ac:dyDescent="0.25">
      <c r="A186" t="s">
        <v>430</v>
      </c>
    </row>
    <row r="187" spans="1:12" x14ac:dyDescent="0.25">
      <c r="A187" t="s">
        <v>434</v>
      </c>
    </row>
    <row r="188" spans="1:12" x14ac:dyDescent="0.25">
      <c r="A188" t="s">
        <v>441</v>
      </c>
    </row>
    <row r="189" spans="1:12" x14ac:dyDescent="0.25">
      <c r="A189" t="s">
        <v>442</v>
      </c>
      <c r="B189">
        <v>4761</v>
      </c>
    </row>
    <row r="190" spans="1:12" x14ac:dyDescent="0.25">
      <c r="A190" t="s">
        <v>445</v>
      </c>
      <c r="B190" t="s">
        <v>444</v>
      </c>
      <c r="C190" t="s">
        <v>495</v>
      </c>
      <c r="D190">
        <v>4727</v>
      </c>
      <c r="E190">
        <v>4343</v>
      </c>
      <c r="F190">
        <v>3767</v>
      </c>
      <c r="G190">
        <v>3674</v>
      </c>
      <c r="H190">
        <v>4261</v>
      </c>
      <c r="I190" t="s">
        <v>706</v>
      </c>
    </row>
    <row r="191" spans="1:12" x14ac:dyDescent="0.25">
      <c r="A191" t="s">
        <v>446</v>
      </c>
      <c r="B191">
        <v>3093</v>
      </c>
      <c r="C191">
        <v>2887</v>
      </c>
      <c r="D191">
        <v>2615</v>
      </c>
    </row>
    <row r="192" spans="1:12" x14ac:dyDescent="0.25">
      <c r="A192" t="s">
        <v>460</v>
      </c>
      <c r="B192">
        <v>2280</v>
      </c>
      <c r="C192">
        <v>2379</v>
      </c>
      <c r="D192">
        <v>2366</v>
      </c>
      <c r="E192">
        <v>3063</v>
      </c>
      <c r="F192">
        <v>2680</v>
      </c>
      <c r="G192" t="s">
        <v>654</v>
      </c>
      <c r="H192">
        <v>2270</v>
      </c>
    </row>
    <row r="193" spans="1:3" x14ac:dyDescent="0.25">
      <c r="A193" t="s">
        <v>474</v>
      </c>
      <c r="B193">
        <v>3616</v>
      </c>
      <c r="C193">
        <v>3957</v>
      </c>
    </row>
    <row r="194" spans="1:3" x14ac:dyDescent="0.25">
      <c r="A194" t="s">
        <v>475</v>
      </c>
      <c r="B194">
        <v>4260</v>
      </c>
    </row>
    <row r="195" spans="1:3" x14ac:dyDescent="0.25">
      <c r="A195" t="s">
        <v>476</v>
      </c>
      <c r="B195">
        <v>4437</v>
      </c>
    </row>
    <row r="196" spans="1:3" x14ac:dyDescent="0.25">
      <c r="A196" t="s">
        <v>477</v>
      </c>
    </row>
    <row r="197" spans="1:3" x14ac:dyDescent="0.25">
      <c r="A197" t="s">
        <v>478</v>
      </c>
      <c r="B197">
        <v>1769</v>
      </c>
    </row>
    <row r="198" spans="1:3" x14ac:dyDescent="0.25">
      <c r="A198" t="s">
        <v>479</v>
      </c>
      <c r="B198">
        <v>4283</v>
      </c>
    </row>
    <row r="199" spans="1:3" x14ac:dyDescent="0.25">
      <c r="A199" t="s">
        <v>490</v>
      </c>
      <c r="B199">
        <v>4457</v>
      </c>
      <c r="C199">
        <v>4194</v>
      </c>
    </row>
    <row r="200" spans="1:3" x14ac:dyDescent="0.25">
      <c r="A200" t="s">
        <v>491</v>
      </c>
      <c r="B200">
        <v>4421</v>
      </c>
    </row>
    <row r="201" spans="1:3" x14ac:dyDescent="0.25">
      <c r="A201" t="s">
        <v>492</v>
      </c>
      <c r="B201">
        <v>110</v>
      </c>
    </row>
    <row r="202" spans="1:3" x14ac:dyDescent="0.25">
      <c r="A202" t="s">
        <v>493</v>
      </c>
      <c r="B202">
        <v>4200</v>
      </c>
    </row>
    <row r="203" spans="1:3" x14ac:dyDescent="0.25">
      <c r="A203" t="s">
        <v>301</v>
      </c>
    </row>
    <row r="204" spans="1:3" x14ac:dyDescent="0.25">
      <c r="A204" t="s">
        <v>524</v>
      </c>
    </row>
    <row r="205" spans="1:3" x14ac:dyDescent="0.25">
      <c r="A205" t="s">
        <v>530</v>
      </c>
      <c r="B205">
        <v>5855</v>
      </c>
    </row>
    <row r="206" spans="1:3" x14ac:dyDescent="0.25">
      <c r="A206" t="s">
        <v>545</v>
      </c>
      <c r="B206">
        <v>2742</v>
      </c>
    </row>
    <row r="207" spans="1:3" x14ac:dyDescent="0.25">
      <c r="A207" t="s">
        <v>559</v>
      </c>
      <c r="B207" t="s">
        <v>560</v>
      </c>
      <c r="C207">
        <v>3204</v>
      </c>
    </row>
    <row r="208" spans="1:3" x14ac:dyDescent="0.25">
      <c r="A208" t="s">
        <v>572</v>
      </c>
      <c r="B208" t="s">
        <v>569</v>
      </c>
    </row>
    <row r="209" spans="1:7" x14ac:dyDescent="0.25">
      <c r="A209" t="s">
        <v>573</v>
      </c>
      <c r="B209">
        <v>5700</v>
      </c>
    </row>
    <row r="210" spans="1:7" x14ac:dyDescent="0.25">
      <c r="A210" t="s">
        <v>574</v>
      </c>
      <c r="B210">
        <v>4555</v>
      </c>
      <c r="C210">
        <v>5401</v>
      </c>
      <c r="D210">
        <v>3998</v>
      </c>
    </row>
    <row r="211" spans="1:7" x14ac:dyDescent="0.25">
      <c r="A211" t="s">
        <v>575</v>
      </c>
      <c r="B211">
        <v>4269</v>
      </c>
      <c r="C211">
        <v>5074</v>
      </c>
      <c r="D211">
        <v>4789</v>
      </c>
      <c r="E211">
        <v>4609</v>
      </c>
    </row>
    <row r="212" spans="1:7" x14ac:dyDescent="0.25">
      <c r="A212" t="s">
        <v>581</v>
      </c>
      <c r="B212">
        <v>2185</v>
      </c>
    </row>
    <row r="213" spans="1:7" x14ac:dyDescent="0.25">
      <c r="A213" t="s">
        <v>585</v>
      </c>
      <c r="B213">
        <v>2817</v>
      </c>
      <c r="C213">
        <v>2458</v>
      </c>
      <c r="D213">
        <v>2135</v>
      </c>
      <c r="E213">
        <v>2211</v>
      </c>
      <c r="F213">
        <v>2748</v>
      </c>
      <c r="G213">
        <v>2483</v>
      </c>
    </row>
    <row r="214" spans="1:7" x14ac:dyDescent="0.25">
      <c r="A214" t="s">
        <v>594</v>
      </c>
      <c r="B214">
        <v>5895</v>
      </c>
    </row>
    <row r="215" spans="1:7" x14ac:dyDescent="0.25">
      <c r="A215" t="s">
        <v>613</v>
      </c>
      <c r="B215">
        <v>4870</v>
      </c>
    </row>
    <row r="216" spans="1:7" x14ac:dyDescent="0.25">
      <c r="A216" t="s">
        <v>614</v>
      </c>
    </row>
    <row r="217" spans="1:7" x14ac:dyDescent="0.25">
      <c r="A217" t="s">
        <v>615</v>
      </c>
    </row>
    <row r="218" spans="1:7" x14ac:dyDescent="0.25">
      <c r="A218" t="s">
        <v>619</v>
      </c>
      <c r="B218">
        <v>4283</v>
      </c>
    </row>
    <row r="219" spans="1:7" x14ac:dyDescent="0.25">
      <c r="A219" t="s">
        <v>620</v>
      </c>
      <c r="B219">
        <v>2306</v>
      </c>
    </row>
    <row r="220" spans="1:7" x14ac:dyDescent="0.25">
      <c r="A220" t="s">
        <v>621</v>
      </c>
      <c r="B220">
        <v>1246</v>
      </c>
    </row>
    <row r="221" spans="1:7" x14ac:dyDescent="0.25">
      <c r="A221" t="s">
        <v>623</v>
      </c>
      <c r="B221">
        <v>3207</v>
      </c>
    </row>
    <row r="222" spans="1:7" x14ac:dyDescent="0.25">
      <c r="A222" t="s">
        <v>624</v>
      </c>
      <c r="B222">
        <v>2159</v>
      </c>
      <c r="C222" t="s">
        <v>709</v>
      </c>
      <c r="D222">
        <v>4341</v>
      </c>
    </row>
    <row r="223" spans="1:7" x14ac:dyDescent="0.25">
      <c r="A223" t="s">
        <v>626</v>
      </c>
      <c r="B223">
        <v>5858</v>
      </c>
      <c r="C223">
        <v>5858</v>
      </c>
    </row>
    <row r="224" spans="1:7" x14ac:dyDescent="0.25">
      <c r="A224" t="s">
        <v>630</v>
      </c>
    </row>
    <row r="225" spans="1:4" x14ac:dyDescent="0.25">
      <c r="A225" t="s">
        <v>636</v>
      </c>
      <c r="B225">
        <v>2652</v>
      </c>
      <c r="C225">
        <v>2280</v>
      </c>
    </row>
    <row r="226" spans="1:4" x14ac:dyDescent="0.25">
      <c r="A226" t="s">
        <v>648</v>
      </c>
    </row>
    <row r="227" spans="1:4" x14ac:dyDescent="0.25">
      <c r="A227" t="s">
        <v>649</v>
      </c>
    </row>
    <row r="228" spans="1:4" x14ac:dyDescent="0.25">
      <c r="A228" t="s">
        <v>662</v>
      </c>
      <c r="B228" t="s">
        <v>663</v>
      </c>
      <c r="C228">
        <v>4789</v>
      </c>
      <c r="D228" t="s">
        <v>765</v>
      </c>
    </row>
    <row r="229" spans="1:4" x14ac:dyDescent="0.25">
      <c r="A229" t="s">
        <v>664</v>
      </c>
    </row>
    <row r="230" spans="1:4" x14ac:dyDescent="0.25">
      <c r="A230" t="s">
        <v>667</v>
      </c>
      <c r="B230">
        <v>4472</v>
      </c>
      <c r="C230" t="s">
        <v>679</v>
      </c>
    </row>
    <row r="231" spans="1:4" x14ac:dyDescent="0.25">
      <c r="A231" t="s">
        <v>680</v>
      </c>
      <c r="B231" t="s">
        <v>733</v>
      </c>
      <c r="C231">
        <v>2345</v>
      </c>
    </row>
    <row r="232" spans="1:4" x14ac:dyDescent="0.25">
      <c r="A232" t="s">
        <v>686</v>
      </c>
    </row>
    <row r="233" spans="1:4" x14ac:dyDescent="0.25">
      <c r="A233" t="s">
        <v>696</v>
      </c>
    </row>
    <row r="234" spans="1:4" x14ac:dyDescent="0.25">
      <c r="A234" t="s">
        <v>702</v>
      </c>
    </row>
    <row r="235" spans="1:4" x14ac:dyDescent="0.25">
      <c r="A235" t="s">
        <v>707</v>
      </c>
    </row>
    <row r="236" spans="1:4" x14ac:dyDescent="0.25">
      <c r="A236" t="s">
        <v>739</v>
      </c>
    </row>
    <row r="237" spans="1:4" x14ac:dyDescent="0.25">
      <c r="A237" t="s">
        <v>746</v>
      </c>
    </row>
    <row r="238" spans="1:4" x14ac:dyDescent="0.25">
      <c r="A238" t="s">
        <v>176</v>
      </c>
    </row>
    <row r="239" spans="1:4" x14ac:dyDescent="0.25">
      <c r="A239" t="s">
        <v>762</v>
      </c>
    </row>
    <row r="240" spans="1:4" x14ac:dyDescent="0.25">
      <c r="A240" t="s">
        <v>769</v>
      </c>
    </row>
    <row r="241" spans="1:3" x14ac:dyDescent="0.25">
      <c r="A241" t="s">
        <v>779</v>
      </c>
      <c r="B241">
        <v>4760</v>
      </c>
      <c r="C241">
        <v>4760</v>
      </c>
    </row>
    <row r="242" spans="1:3" x14ac:dyDescent="0.25">
      <c r="A242" t="s">
        <v>786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12</vt:i4>
      </vt:variant>
    </vt:vector>
  </HeadingPairs>
  <TitlesOfParts>
    <vt:vector size="57" baseType="lpstr">
      <vt:lpstr>Hoja2</vt:lpstr>
      <vt:lpstr>Hoja1</vt:lpstr>
      <vt:lpstr>Inicio</vt:lpstr>
      <vt:lpstr>Mesa 10</vt:lpstr>
      <vt:lpstr>Mesa 11</vt:lpstr>
      <vt:lpstr>Mesa 12</vt:lpstr>
      <vt:lpstr>Mesa 13</vt:lpstr>
      <vt:lpstr>Mesa 20</vt:lpstr>
      <vt:lpstr>Mesa 21</vt:lpstr>
      <vt:lpstr>Mesa 22</vt:lpstr>
      <vt:lpstr>Mesa 30</vt:lpstr>
      <vt:lpstr>Mesa 41</vt:lpstr>
      <vt:lpstr>Mesa 40</vt:lpstr>
      <vt:lpstr>Mesa 50</vt:lpstr>
      <vt:lpstr>Mesa 51</vt:lpstr>
      <vt:lpstr>Mesa 1</vt:lpstr>
      <vt:lpstr>Mesa 1b</vt:lpstr>
      <vt:lpstr>Mesa 2</vt:lpstr>
      <vt:lpstr>Mesa 2b</vt:lpstr>
      <vt:lpstr>Mesa 3</vt:lpstr>
      <vt:lpstr>Mesa 3b</vt:lpstr>
      <vt:lpstr>Mesa 4</vt:lpstr>
      <vt:lpstr>Hoja4</vt:lpstr>
      <vt:lpstr>Mesa 60</vt:lpstr>
      <vt:lpstr>Mesa 61</vt:lpstr>
      <vt:lpstr>Mesa 62</vt:lpstr>
      <vt:lpstr>Mesa 63</vt:lpstr>
      <vt:lpstr>Mesa 64</vt:lpstr>
      <vt:lpstr>Mesa 65</vt:lpstr>
      <vt:lpstr>Mesa 66</vt:lpstr>
      <vt:lpstr>Mesa 67</vt:lpstr>
      <vt:lpstr>Mesa 68</vt:lpstr>
      <vt:lpstr>Mesa 31</vt:lpstr>
      <vt:lpstr>Mesa 32</vt:lpstr>
      <vt:lpstr>Mesa 52</vt:lpstr>
      <vt:lpstr>Delivery</vt:lpstr>
      <vt:lpstr>Mostrador</vt:lpstr>
      <vt:lpstr>Carta</vt:lpstr>
      <vt:lpstr>Ganancia</vt:lpstr>
      <vt:lpstr>Gastos</vt:lpstr>
      <vt:lpstr>Estadisticas</vt:lpstr>
      <vt:lpstr>Hoja3</vt:lpstr>
      <vt:lpstr>Historial</vt:lpstr>
      <vt:lpstr>Cocina</vt:lpstr>
      <vt:lpstr>Direcciones</vt:lpstr>
      <vt:lpstr>Delivery!Print_Area</vt:lpstr>
      <vt:lpstr>'Mesa 10'!Print_Area</vt:lpstr>
      <vt:lpstr>'Mesa 13'!Print_Area</vt:lpstr>
      <vt:lpstr>'Mesa 1b'!Print_Area</vt:lpstr>
      <vt:lpstr>'Mesa 20'!Print_Area</vt:lpstr>
      <vt:lpstr>'Mesa 21'!Print_Area</vt:lpstr>
      <vt:lpstr>'Mesa 3'!Print_Area</vt:lpstr>
      <vt:lpstr>'Mesa 30'!Print_Area</vt:lpstr>
      <vt:lpstr>'Mesa 3b'!Print_Area</vt:lpstr>
      <vt:lpstr>'Mesa 61'!Print_Area</vt:lpstr>
      <vt:lpstr>'Mesa 64'!Print_Area</vt:lpstr>
      <vt:lpstr>'Mesa 67'!Print_Area</vt:lpstr>
    </vt:vector>
  </TitlesOfParts>
  <Company>EY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Maximo H Batallan Mattalia</dc:creator>
  <cp:lastModifiedBy>maximo b</cp:lastModifiedBy>
  <cp:lastPrinted>2022-10-03T14:58:14Z</cp:lastPrinted>
  <dcterms:created xsi:type="dcterms:W3CDTF">2018-06-06T20:44:26Z</dcterms:created>
  <dcterms:modified xsi:type="dcterms:W3CDTF">2022-10-03T15:01:26Z</dcterms:modified>
</cp:coreProperties>
</file>